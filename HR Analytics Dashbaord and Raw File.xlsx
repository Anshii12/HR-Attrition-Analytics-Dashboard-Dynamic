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6.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heckCompatibility="1"/>
  <mc:AlternateContent xmlns:mc="http://schemas.openxmlformats.org/markup-compatibility/2006">
    <mc:Choice Requires="x15">
      <x15ac:absPath xmlns:x15ac="http://schemas.microsoft.com/office/spreadsheetml/2010/11/ac" url="E:\HR_UPSKILLING_2026\pOWERBI\DATASER\"/>
    </mc:Choice>
  </mc:AlternateContent>
  <xr:revisionPtr revIDLastSave="0" documentId="13_ncr:1_{762F0A9E-1685-4488-8733-4A9A378DF884}" xr6:coauthVersionLast="47" xr6:coauthVersionMax="47" xr10:uidLastSave="{00000000-0000-0000-0000-000000000000}"/>
  <bookViews>
    <workbookView xWindow="-12" yWindow="-12" windowWidth="23064" windowHeight="12264" firstSheet="1" activeTab="3" xr2:uid="{D7B77683-DB70-46E6-AB9F-B8528E99A68F}"/>
  </bookViews>
  <sheets>
    <sheet name="PIVOT" sheetId="4" state="hidden" r:id="rId1"/>
    <sheet name="Raw" sheetId="1" r:id="rId2"/>
    <sheet name="KPI" sheetId="2" state="hidden" r:id="rId3"/>
    <sheet name="DASHBOARD" sheetId="3" r:id="rId4"/>
  </sheets>
  <definedNames>
    <definedName name="_xlnm._FilterDatabase" localSheetId="1" hidden="1">Raw!$A$1:$L$41</definedName>
    <definedName name="Slicer_Department">#N/A</definedName>
    <definedName name="Slicer_Gender">#N/A</definedName>
    <definedName name="Slicer_MaritalStatus">#N/A</definedName>
  </definedNames>
  <calcPr calcId="18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 i="2" l="1"/>
  <c r="F3" i="2" s="1"/>
  <c r="J3" i="2"/>
  <c r="H3" i="2"/>
  <c r="D3"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B21" i="4"/>
  <c r="B20" i="4"/>
  <c r="E13" i="4"/>
  <c r="B19" i="4"/>
  <c r="B13" i="4"/>
  <c r="H14" i="4" l="1"/>
</calcChain>
</file>

<file path=xl/sharedStrings.xml><?xml version="1.0" encoding="utf-8"?>
<sst xmlns="http://schemas.openxmlformats.org/spreadsheetml/2006/main" count="396" uniqueCount="102">
  <si>
    <t>Michael Johnson</t>
  </si>
  <si>
    <t>Male</t>
  </si>
  <si>
    <t>Sales</t>
  </si>
  <si>
    <t>Sales Executive</t>
  </si>
  <si>
    <t>Bachelor</t>
  </si>
  <si>
    <t>Marketing</t>
  </si>
  <si>
    <t>Married</t>
  </si>
  <si>
    <t>Yes</t>
  </si>
  <si>
    <t>Emily Carter</t>
  </si>
  <si>
    <t>Female</t>
  </si>
  <si>
    <t>R&amp;D</t>
  </si>
  <si>
    <t>Research Scientist</t>
  </si>
  <si>
    <t>Master</t>
  </si>
  <si>
    <t>Life Sciences</t>
  </si>
  <si>
    <t>Single</t>
  </si>
  <si>
    <t>No</t>
  </si>
  <si>
    <t>David Miller</t>
  </si>
  <si>
    <t>HR</t>
  </si>
  <si>
    <t>HR Manager</t>
  </si>
  <si>
    <t>Human Resources</t>
  </si>
  <si>
    <t>Sarah Thompson</t>
  </si>
  <si>
    <t>Sales Representative</t>
  </si>
  <si>
    <t>Divorced</t>
  </si>
  <si>
    <t>James Anderson</t>
  </si>
  <si>
    <t>Lab Technician</t>
  </si>
  <si>
    <t>Associate</t>
  </si>
  <si>
    <t>Technical</t>
  </si>
  <si>
    <t>Olivia Martinez</t>
  </si>
  <si>
    <t>HR Executive</t>
  </si>
  <si>
    <t>Daniel White</t>
  </si>
  <si>
    <t>Sophia Harris</t>
  </si>
  <si>
    <t>PhD</t>
  </si>
  <si>
    <t>Matthew Clark</t>
  </si>
  <si>
    <t>Ava Lewis</t>
  </si>
  <si>
    <t>Wei Zhang</t>
  </si>
  <si>
    <t>Hiroshi Tanaka</t>
  </si>
  <si>
    <t>Arjun Mehta</t>
  </si>
  <si>
    <t>Li Na</t>
  </si>
  <si>
    <t>Siti Rahman</t>
  </si>
  <si>
    <t>Nguyen Minh</t>
  </si>
  <si>
    <t>Park Ji-hoon</t>
  </si>
  <si>
    <t>Chen Wei</t>
  </si>
  <si>
    <t>Ananya Sharma</t>
  </si>
  <si>
    <t>Takeshi Sato</t>
  </si>
  <si>
    <t>Ahmed Khan</t>
  </si>
  <si>
    <t>Fatima Noor</t>
  </si>
  <si>
    <t>Omar Hassan</t>
  </si>
  <si>
    <t>Ayesha Siddiqui</t>
  </si>
  <si>
    <t>Bilal Ahmed</t>
  </si>
  <si>
    <t>Zainab Ali</t>
  </si>
  <si>
    <t>Yusuf Rahman</t>
  </si>
  <si>
    <t>Mariam Sheikh</t>
  </si>
  <si>
    <t>Imran Qureshi</t>
  </si>
  <si>
    <t>Noor Ul Haq</t>
  </si>
  <si>
    <t>Carlos Rivera</t>
  </si>
  <si>
    <t>Maria Gonzalez</t>
  </si>
  <si>
    <t>Ahmed Al-Farsi</t>
  </si>
  <si>
    <t>Lina Haddad</t>
  </si>
  <si>
    <t>John Peterson</t>
  </si>
  <si>
    <t>Priya Nair</t>
  </si>
  <si>
    <t>Hassan Malik</t>
  </si>
  <si>
    <t>Kevin Brown</t>
  </si>
  <si>
    <t>Farah Mahmood</t>
  </si>
  <si>
    <t>Daniel Kim</t>
  </si>
  <si>
    <t>EmployeeID</t>
  </si>
  <si>
    <t>Name</t>
  </si>
  <si>
    <t>Gender</t>
  </si>
  <si>
    <t>Age</t>
  </si>
  <si>
    <t>Department</t>
  </si>
  <si>
    <t>JobRole</t>
  </si>
  <si>
    <t>Education</t>
  </si>
  <si>
    <t>EducationField</t>
  </si>
  <si>
    <t>MaritalStatus</t>
  </si>
  <si>
    <t>Salary</t>
  </si>
  <si>
    <t>JobSatisfaction</t>
  </si>
  <si>
    <t>Attrition</t>
  </si>
  <si>
    <t>Attrition Flag</t>
  </si>
  <si>
    <t>Age-Band</t>
  </si>
  <si>
    <t>Salary Band</t>
  </si>
  <si>
    <t>Satisfaction Level</t>
  </si>
  <si>
    <t>TOTAL EMPLOYEES</t>
  </si>
  <si>
    <t>TOTAL ATTRITION</t>
  </si>
  <si>
    <t>ACTIVE EMPLOYEES</t>
  </si>
  <si>
    <t>AVERAGE AGE</t>
  </si>
  <si>
    <t>AVERAGE JOB SATISFACTION</t>
  </si>
  <si>
    <t>Row Labels</t>
  </si>
  <si>
    <t>Grand Total</t>
  </si>
  <si>
    <t>Sum of Attrition Flag</t>
  </si>
  <si>
    <t>30-44</t>
  </si>
  <si>
    <t>High Salary</t>
  </si>
  <si>
    <t>Under 30</t>
  </si>
  <si>
    <t>Low Salary</t>
  </si>
  <si>
    <t>45-50</t>
  </si>
  <si>
    <t>50+</t>
  </si>
  <si>
    <t>Medium Salary</t>
  </si>
  <si>
    <t>Count of EmployeeID</t>
  </si>
  <si>
    <t>Total EE</t>
  </si>
  <si>
    <t>Total Attrition</t>
  </si>
  <si>
    <t>Average of Age</t>
  </si>
  <si>
    <t>Average Age</t>
  </si>
  <si>
    <t>Active EE</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</si>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</sst>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0.0"/>
  </numFmts>
  <fonts count="2">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8"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0" fontId="0" fillId="0" borderId="1" xfId="0" applyBorder="1" applyAlignment="1">
      <alignment horizontal="center" vertical="center"/>
    </xf>
    <xf numFmtId="164" fontId="0" fillId="0" borderId="1" xfId="1" applyNumberFormat="1" applyFont="1" applyBorder="1" applyAlignment="1">
      <alignment horizontal="center" vertical="center"/>
    </xf>
    <xf numFmtId="164" fontId="0" fillId="0" borderId="0" xfId="1" applyNumberFormat="1" applyFont="1"/>
    <xf numFmtId="165" fontId="0" fillId="0" borderId="0" xfId="0" applyNumberFormat="1"/>
    <xf numFmtId="1" fontId="0" fillId="0" borderId="1" xfId="0" applyNumberFormat="1" applyBorder="1" applyAlignment="1">
      <alignment horizontal="center" vertical="center"/>
    </xf>
    <xf numFmtId="1" fontId="0" fillId="0" borderId="0" xfId="0" applyNumberFormat="1"/>
    <xf numFmtId="1" fontId="0" fillId="0" borderId="2" xfId="0" applyNumberFormat="1" applyBorder="1" applyAlignment="1">
      <alignment horizontal="center" vertical="center"/>
    </xf>
    <xf numFmtId="0" fontId="0" fillId="0" borderId="3" xfId="0" applyBorder="1" applyAlignment="1">
      <alignment horizontal="center" vertical="center"/>
    </xf>
    <xf numFmtId="1" fontId="0" fillId="0" borderId="7" xfId="0" applyNumberFormat="1" applyBorder="1" applyAlignment="1">
      <alignment horizontal="center" vertical="center"/>
    </xf>
    <xf numFmtId="0" fontId="0" fillId="0" borderId="8" xfId="0" applyBorder="1" applyAlignment="1">
      <alignment horizontal="center" vertical="center"/>
    </xf>
    <xf numFmtId="1" fontId="0" fillId="0" borderId="8" xfId="0" applyNumberFormat="1" applyBorder="1" applyAlignment="1">
      <alignment horizontal="center" vertical="center"/>
    </xf>
    <xf numFmtId="164" fontId="0" fillId="0" borderId="8" xfId="1" applyNumberFormat="1" applyFont="1" applyBorder="1" applyAlignment="1">
      <alignment horizontal="center" vertical="center"/>
    </xf>
    <xf numFmtId="0" fontId="0" fillId="0" borderId="9" xfId="0" applyBorder="1" applyAlignment="1">
      <alignment horizontal="center" vertical="center"/>
    </xf>
    <xf numFmtId="1" fontId="0" fillId="2" borderId="4" xfId="0" applyNumberFormat="1" applyFill="1" applyBorder="1" applyAlignment="1">
      <alignment horizontal="center" vertical="center"/>
    </xf>
    <xf numFmtId="0" fontId="0" fillId="2" borderId="5" xfId="0" applyFill="1" applyBorder="1" applyAlignment="1">
      <alignment horizontal="center" vertical="center"/>
    </xf>
    <xf numFmtId="1" fontId="0" fillId="2" borderId="5" xfId="0" applyNumberFormat="1" applyFill="1" applyBorder="1" applyAlignment="1">
      <alignment horizontal="center" vertical="center"/>
    </xf>
    <xf numFmtId="164" fontId="0" fillId="2" borderId="5" xfId="1" applyNumberFormat="1" applyFont="1" applyFill="1" applyBorder="1" applyAlignment="1">
      <alignment horizontal="center" vertical="center"/>
    </xf>
    <xf numFmtId="0" fontId="0" fillId="2" borderId="6" xfId="0" applyFill="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3" borderId="0" xfId="0" applyFill="1"/>
    <xf numFmtId="9" fontId="0" fillId="0" borderId="0" xfId="0" applyNumberFormat="1"/>
  </cellXfs>
  <cellStyles count="2">
    <cellStyle name="Currency" xfId="1" builtinId="4"/>
    <cellStyle name="Normal" xfId="0" builtinId="0"/>
  </cellStyles>
  <dxfs count="20">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4" formatCode="_(&quot;$&quot;* #,##0_);_(&quot;$&quot;* \(#,##0\);_(&quot;$&quot;*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5"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 Id="rId5" Type="http://schemas.openxmlformats.org/officeDocument/2006/relationships/image" Target="../media/image8.png"/><Relationship Id="rId4" Type="http://schemas.openxmlformats.org/officeDocument/2006/relationships/image" Target="../media/image7.png"/></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 Analytics Dashbaord Raw File.xlsx]PIVOT!PivotTable1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171296296296298"/>
          <c:w val="0.93888888888888888"/>
          <c:h val="0.72088764946048411"/>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PIVOT!$A$4:$A$7</c:f>
              <c:strCache>
                <c:ptCount val="3"/>
                <c:pt idx="0">
                  <c:v>HR</c:v>
                </c:pt>
                <c:pt idx="1">
                  <c:v>R&amp;D</c:v>
                </c:pt>
                <c:pt idx="2">
                  <c:v>Sales</c:v>
                </c:pt>
              </c:strCache>
            </c:strRef>
          </c:cat>
          <c:val>
            <c:numRef>
              <c:f>PIVOT!$B$4:$B$7</c:f>
              <c:numCache>
                <c:formatCode>General</c:formatCode>
                <c:ptCount val="3"/>
                <c:pt idx="0">
                  <c:v>3</c:v>
                </c:pt>
                <c:pt idx="1">
                  <c:v>8</c:v>
                </c:pt>
                <c:pt idx="2">
                  <c:v>9</c:v>
                </c:pt>
              </c:numCache>
            </c:numRef>
          </c:val>
          <c:extLst>
            <c:ext xmlns:c16="http://schemas.microsoft.com/office/drawing/2014/chart" uri="{C3380CC4-5D6E-409C-BE32-E72D297353CC}">
              <c16:uniqueId val="{00000000-3D8B-4F18-A428-06DECC809946}"/>
            </c:ext>
          </c:extLst>
        </c:ser>
        <c:dLbls>
          <c:dLblPos val="outEnd"/>
          <c:showLegendKey val="0"/>
          <c:showVal val="1"/>
          <c:showCatName val="0"/>
          <c:showSerName val="0"/>
          <c:showPercent val="0"/>
          <c:showBubbleSize val="0"/>
        </c:dLbls>
        <c:gapWidth val="79"/>
        <c:overlap val="2"/>
        <c:axId val="217109216"/>
        <c:axId val="143260000"/>
      </c:barChart>
      <c:catAx>
        <c:axId val="21710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60000"/>
        <c:crosses val="autoZero"/>
        <c:auto val="1"/>
        <c:lblAlgn val="ctr"/>
        <c:lblOffset val="100"/>
        <c:noMultiLvlLbl val="0"/>
      </c:catAx>
      <c:valAx>
        <c:axId val="143260000"/>
        <c:scaling>
          <c:orientation val="minMax"/>
        </c:scaling>
        <c:delete val="1"/>
        <c:axPos val="l"/>
        <c:numFmt formatCode="General" sourceLinked="1"/>
        <c:majorTickMark val="none"/>
        <c:minorTickMark val="none"/>
        <c:tickLblPos val="nextTo"/>
        <c:crossAx val="21710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 Analytics Dashbaord Raw File.xlsx]PIVOT!PivotTable2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PIVOT!$A$24:$A$28</c:f>
              <c:strCache>
                <c:ptCount val="4"/>
                <c:pt idx="0">
                  <c:v>30-44</c:v>
                </c:pt>
                <c:pt idx="1">
                  <c:v>45-50</c:v>
                </c:pt>
                <c:pt idx="2">
                  <c:v>50+</c:v>
                </c:pt>
                <c:pt idx="3">
                  <c:v>Under 30</c:v>
                </c:pt>
              </c:strCache>
            </c:strRef>
          </c:cat>
          <c:val>
            <c:numRef>
              <c:f>PIVOT!$B$24:$B$28</c:f>
              <c:numCache>
                <c:formatCode>General</c:formatCode>
                <c:ptCount val="4"/>
                <c:pt idx="0">
                  <c:v>12</c:v>
                </c:pt>
                <c:pt idx="1">
                  <c:v>3</c:v>
                </c:pt>
                <c:pt idx="2">
                  <c:v>1</c:v>
                </c:pt>
                <c:pt idx="3">
                  <c:v>4</c:v>
                </c:pt>
              </c:numCache>
            </c:numRef>
          </c:val>
          <c:extLst>
            <c:ext xmlns:c16="http://schemas.microsoft.com/office/drawing/2014/chart" uri="{C3380CC4-5D6E-409C-BE32-E72D297353CC}">
              <c16:uniqueId val="{00000000-F5B2-4699-A1D8-0A8771A3150B}"/>
            </c:ext>
          </c:extLst>
        </c:ser>
        <c:dLbls>
          <c:dLblPos val="outEnd"/>
          <c:showLegendKey val="0"/>
          <c:showVal val="1"/>
          <c:showCatName val="0"/>
          <c:showSerName val="0"/>
          <c:showPercent val="0"/>
          <c:showBubbleSize val="0"/>
        </c:dLbls>
        <c:gapWidth val="219"/>
        <c:overlap val="-27"/>
        <c:axId val="374692784"/>
        <c:axId val="139688320"/>
      </c:barChart>
      <c:catAx>
        <c:axId val="37469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8320"/>
        <c:crosses val="autoZero"/>
        <c:auto val="1"/>
        <c:lblAlgn val="ctr"/>
        <c:lblOffset val="100"/>
        <c:noMultiLvlLbl val="0"/>
      </c:catAx>
      <c:valAx>
        <c:axId val="139688320"/>
        <c:scaling>
          <c:orientation val="minMax"/>
        </c:scaling>
        <c:delete val="1"/>
        <c:axPos val="l"/>
        <c:numFmt formatCode="General" sourceLinked="1"/>
        <c:majorTickMark val="none"/>
        <c:minorTickMark val="none"/>
        <c:tickLblPos val="nextTo"/>
        <c:crossAx val="374692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 Analytics Dashbaord Raw File.xlsx]PIVOT!PivotTable3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Education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PIVOT!$B$35</c:f>
              <c:strCache>
                <c:ptCount val="1"/>
                <c:pt idx="0">
                  <c:v>Total</c:v>
                </c:pt>
              </c:strCache>
            </c:strRef>
          </c:tx>
          <c:spPr>
            <a:solidFill>
              <a:schemeClr val="accent1"/>
            </a:solidFill>
            <a:ln>
              <a:noFill/>
            </a:ln>
            <a:effectLst/>
          </c:spPr>
          <c:invertIfNegative val="0"/>
          <c:cat>
            <c:strRef>
              <c:f>PIVOT!$A$36:$A$40</c:f>
              <c:strCache>
                <c:ptCount val="4"/>
                <c:pt idx="0">
                  <c:v>Human Resources</c:v>
                </c:pt>
                <c:pt idx="1">
                  <c:v>Life Sciences</c:v>
                </c:pt>
                <c:pt idx="2">
                  <c:v>Marketing</c:v>
                </c:pt>
                <c:pt idx="3">
                  <c:v>Technical</c:v>
                </c:pt>
              </c:strCache>
            </c:strRef>
          </c:cat>
          <c:val>
            <c:numRef>
              <c:f>PIVOT!$B$36:$B$40</c:f>
              <c:numCache>
                <c:formatCode>General</c:formatCode>
                <c:ptCount val="4"/>
                <c:pt idx="0">
                  <c:v>3</c:v>
                </c:pt>
                <c:pt idx="1">
                  <c:v>4</c:v>
                </c:pt>
                <c:pt idx="2">
                  <c:v>9</c:v>
                </c:pt>
                <c:pt idx="3">
                  <c:v>4</c:v>
                </c:pt>
              </c:numCache>
            </c:numRef>
          </c:val>
          <c:extLst>
            <c:ext xmlns:c16="http://schemas.microsoft.com/office/drawing/2014/chart" uri="{C3380CC4-5D6E-409C-BE32-E72D297353CC}">
              <c16:uniqueId val="{00000000-05D2-489B-B431-BF1B9993A0A7}"/>
            </c:ext>
          </c:extLst>
        </c:ser>
        <c:dLbls>
          <c:showLegendKey val="0"/>
          <c:showVal val="0"/>
          <c:showCatName val="0"/>
          <c:showSerName val="0"/>
          <c:showPercent val="0"/>
          <c:showBubbleSize val="0"/>
        </c:dLbls>
        <c:gapWidth val="219"/>
        <c:overlap val="-27"/>
        <c:axId val="225620704"/>
        <c:axId val="374864448"/>
      </c:barChart>
      <c:catAx>
        <c:axId val="2256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864448"/>
        <c:crosses val="autoZero"/>
        <c:auto val="1"/>
        <c:lblAlgn val="ctr"/>
        <c:lblOffset val="100"/>
        <c:noMultiLvlLbl val="0"/>
      </c:catAx>
      <c:valAx>
        <c:axId val="374864448"/>
        <c:scaling>
          <c:orientation val="minMax"/>
        </c:scaling>
        <c:delete val="1"/>
        <c:axPos val="l"/>
        <c:numFmt formatCode="General" sourceLinked="1"/>
        <c:majorTickMark val="none"/>
        <c:minorTickMark val="none"/>
        <c:tickLblPos val="nextTo"/>
        <c:crossAx val="22562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 Analytics Dashbaord Raw File.xlsx]PIVOT!PivotTable4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Salary-Band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PIVOT!$A$46:$A$49</c:f>
              <c:strCache>
                <c:ptCount val="3"/>
                <c:pt idx="0">
                  <c:v>High Salary</c:v>
                </c:pt>
                <c:pt idx="1">
                  <c:v>Low Salary</c:v>
                </c:pt>
                <c:pt idx="2">
                  <c:v>Medium Salary</c:v>
                </c:pt>
              </c:strCache>
            </c:strRef>
          </c:cat>
          <c:val>
            <c:numRef>
              <c:f>PIVOT!$B$46:$B$49</c:f>
              <c:numCache>
                <c:formatCode>General</c:formatCode>
                <c:ptCount val="3"/>
                <c:pt idx="0">
                  <c:v>5</c:v>
                </c:pt>
                <c:pt idx="1">
                  <c:v>4</c:v>
                </c:pt>
                <c:pt idx="2">
                  <c:v>11</c:v>
                </c:pt>
              </c:numCache>
            </c:numRef>
          </c:val>
          <c:extLst>
            <c:ext xmlns:c16="http://schemas.microsoft.com/office/drawing/2014/chart" uri="{C3380CC4-5D6E-409C-BE32-E72D297353CC}">
              <c16:uniqueId val="{00000000-1AE2-4835-AACE-EFAFE52E07FB}"/>
            </c:ext>
          </c:extLst>
        </c:ser>
        <c:dLbls>
          <c:dLblPos val="outEnd"/>
          <c:showLegendKey val="0"/>
          <c:showVal val="1"/>
          <c:showCatName val="0"/>
          <c:showSerName val="0"/>
          <c:showPercent val="0"/>
          <c:showBubbleSize val="0"/>
        </c:dLbls>
        <c:gapWidth val="219"/>
        <c:overlap val="-27"/>
        <c:axId val="219755968"/>
        <c:axId val="213393728"/>
      </c:barChart>
      <c:catAx>
        <c:axId val="21975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93728"/>
        <c:crosses val="autoZero"/>
        <c:auto val="1"/>
        <c:lblAlgn val="ctr"/>
        <c:lblOffset val="100"/>
        <c:noMultiLvlLbl val="0"/>
      </c:catAx>
      <c:valAx>
        <c:axId val="213393728"/>
        <c:scaling>
          <c:orientation val="minMax"/>
        </c:scaling>
        <c:delete val="1"/>
        <c:axPos val="l"/>
        <c:numFmt formatCode="General" sourceLinked="1"/>
        <c:majorTickMark val="none"/>
        <c:minorTickMark val="none"/>
        <c:tickLblPos val="nextTo"/>
        <c:crossAx val="21975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[Copy of HR Analytics Dashbaord Raw File.xlsx]PIVOT!PivotTable5</c:name>
    <c:fmtId val="16"/>
  </c:pivotSource>
  <c:chart>
    <c:title>
      <c:tx>
        <c:rich>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PIVOT!$B$58</c:f>
              <c:strCache>
                <c:ptCount val="1"/>
                <c:pt idx="0">
                  <c:v>Total</c:v>
                </c:pt>
              </c:strCache>
            </c:strRef>
          </c:tx>
          <c:spPr>
            <a:solidFill>
              <a:schemeClr val="accent5">
                <a:lumMod val="50000"/>
              </a:schemeClr>
            </a:solidFill>
            <a:ln>
              <a:noFill/>
            </a:ln>
            <a:effectLst/>
          </c:spPr>
          <c:invertIfNegative val="0"/>
          <c:cat>
            <c:strRef>
              <c:f>PIVOT!$A$59:$A$61</c:f>
              <c:strCache>
                <c:ptCount val="2"/>
                <c:pt idx="0">
                  <c:v>Female</c:v>
                </c:pt>
                <c:pt idx="1">
                  <c:v>Male</c:v>
                </c:pt>
              </c:strCache>
            </c:strRef>
          </c:cat>
          <c:val>
            <c:numRef>
              <c:f>PIVOT!$B$59:$B$61</c:f>
              <c:numCache>
                <c:formatCode>General</c:formatCode>
                <c:ptCount val="2"/>
                <c:pt idx="0">
                  <c:v>16</c:v>
                </c:pt>
                <c:pt idx="1">
                  <c:v>24</c:v>
                </c:pt>
              </c:numCache>
            </c:numRef>
          </c:val>
          <c:extLst>
            <c:ext xmlns:c16="http://schemas.microsoft.com/office/drawing/2014/chart" uri="{C3380CC4-5D6E-409C-BE32-E72D297353CC}">
              <c16:uniqueId val="{00000000-5499-4754-B16D-CF7F047E28D4}"/>
            </c:ext>
          </c:extLst>
        </c:ser>
        <c:dLbls>
          <c:showLegendKey val="0"/>
          <c:showVal val="0"/>
          <c:showCatName val="0"/>
          <c:showSerName val="0"/>
          <c:showPercent val="0"/>
          <c:showBubbleSize val="0"/>
        </c:dLbls>
        <c:gapWidth val="219"/>
        <c:overlap val="-27"/>
        <c:axId val="225620704"/>
        <c:axId val="374864448"/>
      </c:barChart>
      <c:catAx>
        <c:axId val="2256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374864448"/>
        <c:crosses val="autoZero"/>
        <c:auto val="1"/>
        <c:lblAlgn val="ctr"/>
        <c:lblOffset val="100"/>
        <c:noMultiLvlLbl val="0"/>
      </c:catAx>
      <c:valAx>
        <c:axId val="374864448"/>
        <c:scaling>
          <c:orientation val="minMax"/>
        </c:scaling>
        <c:delete val="1"/>
        <c:axPos val="l"/>
        <c:numFmt formatCode="General" sourceLinked="1"/>
        <c:majorTickMark val="none"/>
        <c:minorTickMark val="none"/>
        <c:tickLblPos val="nextTo"/>
        <c:crossAx val="225620704"/>
        <c:crosses val="autoZero"/>
        <c:crossBetween val="between"/>
      </c:valAx>
      <c:spPr>
        <a:noFill/>
        <a:ln>
          <a:noFill/>
        </a:ln>
        <a:effectLst/>
      </c:spPr>
    </c:plotArea>
    <c:plotVisOnly val="1"/>
    <c:dispBlanksAs val="gap"/>
    <c:showDLblsOverMax val="0"/>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[Copy of HR Analytics Dashbaord Raw File.xlsx]PIVOT!PivotTable6</c:name>
    <c:fmtId val="29"/>
  </c:pivotSource>
  <c:chart>
    <c:title>
      <c:tx>
        <c:rich>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sng" strike="noStrike" kern="1200" baseline="0">
                  <a:solidFill>
                    <a:schemeClr val="bg1"/>
                  </a:solidFill>
                  <a:uFill>
                    <a:solidFill>
                      <a:schemeClr val="bg1"/>
                    </a:solidFill>
                  </a:u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F9ED5">
              <a:lumMod val="60000"/>
              <a:lumOff val="40000"/>
            </a:srgbClr>
          </a:solidFill>
          <a:ln>
            <a:noFill/>
          </a:ln>
          <a:effectLst/>
        </c:spPr>
      </c:pivotFmt>
      <c:pivotFmt>
        <c:idx val="5"/>
        <c:spPr>
          <a:solidFill>
            <a:srgbClr val="196B24">
              <a:lumMod val="75000"/>
            </a:srgbClr>
          </a:solidFill>
          <a:ln>
            <a:noFill/>
          </a:ln>
          <a:effectLst/>
        </c:spPr>
      </c:pivotFmt>
      <c:pivotFmt>
        <c:idx val="6"/>
        <c:spPr>
          <a:solidFill>
            <a:srgbClr val="E97132">
              <a:lumMod val="40000"/>
              <a:lumOff val="60000"/>
            </a:srgbClr>
          </a:solidFill>
          <a:ln>
            <a:noFill/>
          </a:ln>
          <a:effectLst/>
        </c:spPr>
      </c:pivotFmt>
      <c:pivotFmt>
        <c:idx val="7"/>
        <c:spPr>
          <a:solidFill>
            <a:srgbClr val="E97132">
              <a:lumMod val="50000"/>
            </a:srgbClr>
          </a:solidFill>
          <a:ln>
            <a:noFill/>
          </a:ln>
          <a:effectLst/>
        </c:spPr>
      </c:pivotFmt>
      <c:pivotFmt>
        <c:idx val="8"/>
        <c:spPr>
          <a:solidFill>
            <a:srgbClr val="196B24">
              <a:lumMod val="60000"/>
              <a:lumOff val="40000"/>
            </a:srgbClr>
          </a:solidFill>
          <a:ln>
            <a:noFill/>
          </a:ln>
          <a:effectLst/>
        </c:spPr>
      </c:pivotFmt>
    </c:pivotFmts>
    <c:plotArea>
      <c:layout/>
      <c:pieChart>
        <c:varyColors val="1"/>
        <c:ser>
          <c:idx val="0"/>
          <c:order val="0"/>
          <c:tx>
            <c:strRef>
              <c:f>PIVOT!$B$77</c:f>
              <c:strCache>
                <c:ptCount val="1"/>
                <c:pt idx="0">
                  <c:v>Total</c:v>
                </c:pt>
              </c:strCache>
            </c:strRef>
          </c:tx>
          <c:spPr>
            <a:solidFill>
              <a:schemeClr val="accent5">
                <a:lumMod val="50000"/>
              </a:schemeClr>
            </a:solidFill>
          </c:spPr>
          <c:dPt>
            <c:idx val="0"/>
            <c:bubble3D val="0"/>
            <c:spPr>
              <a:solidFill>
                <a:srgbClr val="E97132">
                  <a:lumMod val="40000"/>
                  <a:lumOff val="60000"/>
                </a:srgbClr>
              </a:solidFill>
              <a:ln>
                <a:noFill/>
              </a:ln>
              <a:effectLst/>
            </c:spPr>
            <c:extLst>
              <c:ext xmlns:c16="http://schemas.microsoft.com/office/drawing/2014/chart" uri="{C3380CC4-5D6E-409C-BE32-E72D297353CC}">
                <c16:uniqueId val="{00000005-6939-418D-AF01-928BA14EC8AE}"/>
              </c:ext>
            </c:extLst>
          </c:dPt>
          <c:dPt>
            <c:idx val="1"/>
            <c:bubble3D val="0"/>
            <c:spPr>
              <a:solidFill>
                <a:srgbClr val="196B24">
                  <a:lumMod val="75000"/>
                </a:srgbClr>
              </a:solidFill>
              <a:ln>
                <a:noFill/>
              </a:ln>
              <a:effectLst/>
            </c:spPr>
            <c:extLst>
              <c:ext xmlns:c16="http://schemas.microsoft.com/office/drawing/2014/chart" uri="{C3380CC4-5D6E-409C-BE32-E72D297353CC}">
                <c16:uniqueId val="{00000004-6939-418D-AF01-928BA14EC8AE}"/>
              </c:ext>
            </c:extLst>
          </c:dPt>
          <c:dPt>
            <c:idx val="2"/>
            <c:bubble3D val="0"/>
            <c:spPr>
              <a:solidFill>
                <a:srgbClr val="0F9ED5">
                  <a:lumMod val="60000"/>
                  <a:lumOff val="40000"/>
                </a:srgbClr>
              </a:solidFill>
              <a:ln>
                <a:noFill/>
              </a:ln>
              <a:effectLst/>
            </c:spPr>
            <c:extLst>
              <c:ext xmlns:c16="http://schemas.microsoft.com/office/drawing/2014/chart" uri="{C3380CC4-5D6E-409C-BE32-E72D297353CC}">
                <c16:uniqueId val="{00000003-6939-418D-AF01-928BA14EC8AE}"/>
              </c:ext>
            </c:extLst>
          </c:dPt>
          <c:dPt>
            <c:idx val="3"/>
            <c:bubble3D val="0"/>
            <c:spPr>
              <a:solidFill>
                <a:srgbClr val="196B24">
                  <a:lumMod val="60000"/>
                  <a:lumOff val="40000"/>
                </a:srgbClr>
              </a:solidFill>
              <a:ln>
                <a:noFill/>
              </a:ln>
              <a:effectLst/>
            </c:spPr>
            <c:extLst>
              <c:ext xmlns:c16="http://schemas.microsoft.com/office/drawing/2014/chart" uri="{C3380CC4-5D6E-409C-BE32-E72D297353CC}">
                <c16:uniqueId val="{00000007-6939-418D-AF01-928BA14EC8AE}"/>
              </c:ext>
            </c:extLst>
          </c:dPt>
          <c:dPt>
            <c:idx val="4"/>
            <c:bubble3D val="0"/>
            <c:spPr>
              <a:solidFill>
                <a:schemeClr val="accent5">
                  <a:lumMod val="50000"/>
                </a:schemeClr>
              </a:solidFill>
              <a:ln>
                <a:noFill/>
              </a:ln>
              <a:effectLst/>
            </c:spPr>
          </c:dPt>
          <c:dPt>
            <c:idx val="5"/>
            <c:bubble3D val="0"/>
            <c:spPr>
              <a:solidFill>
                <a:srgbClr val="E97132">
                  <a:lumMod val="50000"/>
                </a:srgbClr>
              </a:solidFill>
              <a:ln>
                <a:noFill/>
              </a:ln>
              <a:effectLst/>
            </c:spPr>
            <c:extLst>
              <c:ext xmlns:c16="http://schemas.microsoft.com/office/drawing/2014/chart" uri="{C3380CC4-5D6E-409C-BE32-E72D297353CC}">
                <c16:uniqueId val="{00000006-6939-418D-AF01-928BA14EC8AE}"/>
              </c:ext>
            </c:extLst>
          </c:dPt>
          <c:dLbls>
            <c:spPr>
              <a:noFill/>
              <a:ln>
                <a:noFill/>
              </a:ln>
              <a:effectLst/>
            </c:spPr>
            <c:txPr>
              <a:bodyPr rot="0" spcFirstLastPara="1" vertOverflow="ellipsis" vert="horz" wrap="square" lIns="38100" tIns="19050" rIns="38100" bIns="19050" anchor="ctr" anchorCtr="1">
                <a:spAutoFit/>
              </a:bodyPr>
              <a:lstStyle/>
              <a:p>
                <a:pPr>
                  <a:defRPr sz="1050" b="1" i="0" u="sng" strike="noStrike" kern="1200" baseline="0">
                    <a:solidFill>
                      <a:schemeClr val="bg1"/>
                    </a:solidFill>
                    <a:uFill>
                      <a:solidFill>
                        <a:schemeClr val="bg1"/>
                      </a:solidFill>
                    </a:u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PIVOT!$A$78:$A$84</c:f>
              <c:strCache>
                <c:ptCount val="6"/>
                <c:pt idx="0">
                  <c:v>HR Executive</c:v>
                </c:pt>
                <c:pt idx="1">
                  <c:v>HR Manager</c:v>
                </c:pt>
                <c:pt idx="2">
                  <c:v>Lab Technician</c:v>
                </c:pt>
                <c:pt idx="3">
                  <c:v>Research Scientist</c:v>
                </c:pt>
                <c:pt idx="4">
                  <c:v>Sales Executive</c:v>
                </c:pt>
                <c:pt idx="5">
                  <c:v>Sales Representative</c:v>
                </c:pt>
              </c:strCache>
            </c:strRef>
          </c:cat>
          <c:val>
            <c:numRef>
              <c:f>PIVOT!$B$78:$B$84</c:f>
              <c:numCache>
                <c:formatCode>General</c:formatCode>
                <c:ptCount val="6"/>
                <c:pt idx="0">
                  <c:v>1</c:v>
                </c:pt>
                <c:pt idx="1">
                  <c:v>2</c:v>
                </c:pt>
                <c:pt idx="2">
                  <c:v>4</c:v>
                </c:pt>
                <c:pt idx="3">
                  <c:v>4</c:v>
                </c:pt>
                <c:pt idx="4">
                  <c:v>7</c:v>
                </c:pt>
                <c:pt idx="5">
                  <c:v>2</c:v>
                </c:pt>
              </c:numCache>
            </c:numRef>
          </c:val>
          <c:extLst>
            <c:ext xmlns:c16="http://schemas.microsoft.com/office/drawing/2014/chart" uri="{C3380CC4-5D6E-409C-BE32-E72D297353CC}">
              <c16:uniqueId val="{00000000-5499-4754-B16D-CF7F047E28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[Copy of HR Analytics Dashbaord Raw File.xlsx]PIVOT!PivotTable2</c:name>
    <c:fmtId val="4"/>
  </c:pivotSource>
  <c:chart>
    <c:title>
      <c:tx>
        <c:rich>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r>
              <a:rPr lang="en-US"/>
              <a:t>Attrition by Age-Band</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PIVOT!$A$24:$A$28</c:f>
              <c:strCache>
                <c:ptCount val="4"/>
                <c:pt idx="0">
                  <c:v>30-44</c:v>
                </c:pt>
                <c:pt idx="1">
                  <c:v>45-50</c:v>
                </c:pt>
                <c:pt idx="2">
                  <c:v>50+</c:v>
                </c:pt>
                <c:pt idx="3">
                  <c:v>Under 30</c:v>
                </c:pt>
              </c:strCache>
            </c:strRef>
          </c:cat>
          <c:val>
            <c:numRef>
              <c:f>PIVOT!$B$24:$B$28</c:f>
              <c:numCache>
                <c:formatCode>General</c:formatCode>
                <c:ptCount val="4"/>
                <c:pt idx="0">
                  <c:v>12</c:v>
                </c:pt>
                <c:pt idx="1">
                  <c:v>3</c:v>
                </c:pt>
                <c:pt idx="2">
                  <c:v>1</c:v>
                </c:pt>
                <c:pt idx="3">
                  <c:v>4</c:v>
                </c:pt>
              </c:numCache>
            </c:numRef>
          </c:val>
          <c:extLst>
            <c:ext xmlns:c16="http://schemas.microsoft.com/office/drawing/2014/chart" uri="{C3380CC4-5D6E-409C-BE32-E72D297353CC}">
              <c16:uniqueId val="{00000000-5499-4754-B16D-CF7F047E28D4}"/>
            </c:ext>
          </c:extLst>
        </c:ser>
        <c:dLbls>
          <c:dLblPos val="outEnd"/>
          <c:showLegendKey val="0"/>
          <c:showVal val="1"/>
          <c:showCatName val="0"/>
          <c:showSerName val="0"/>
          <c:showPercent val="0"/>
          <c:showBubbleSize val="0"/>
        </c:dLbls>
        <c:gapWidth val="219"/>
        <c:overlap val="-27"/>
        <c:axId val="225620704"/>
        <c:axId val="374864448"/>
      </c:barChart>
      <c:catAx>
        <c:axId val="2256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374864448"/>
        <c:crosses val="autoZero"/>
        <c:auto val="1"/>
        <c:lblAlgn val="ctr"/>
        <c:lblOffset val="100"/>
        <c:noMultiLvlLbl val="0"/>
      </c:catAx>
      <c:valAx>
        <c:axId val="374864448"/>
        <c:scaling>
          <c:orientation val="minMax"/>
        </c:scaling>
        <c:delete val="1"/>
        <c:axPos val="l"/>
        <c:numFmt formatCode="General" sourceLinked="1"/>
        <c:majorTickMark val="none"/>
        <c:minorTickMark val="none"/>
        <c:tickLblPos val="nextTo"/>
        <c:crossAx val="225620704"/>
        <c:crosses val="autoZero"/>
        <c:crossBetween val="between"/>
      </c:valAx>
      <c:spPr>
        <a:noFill/>
        <a:ln>
          <a:noFill/>
        </a:ln>
        <a:effectLst/>
      </c:spPr>
    </c:plotArea>
    <c:plotVisOnly val="1"/>
    <c:dispBlanksAs val="gap"/>
    <c:showDLblsOverMax val="0"/>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 Analytics Dashbaord Raw File.xlsx]PIVOT!PivotTable3</c:name>
    <c:fmtId val="5"/>
  </c:pivotSource>
  <c:chart>
    <c:title>
      <c:tx>
        <c:rich>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r>
              <a:rPr lang="en-US">
                <a:ln>
                  <a:solidFill>
                    <a:schemeClr val="accent5">
                      <a:lumMod val="50000"/>
                    </a:schemeClr>
                  </a:solidFill>
                </a:ln>
                <a:solidFill>
                  <a:schemeClr val="accent5">
                    <a:lumMod val="50000"/>
                  </a:schemeClr>
                </a:solidFill>
              </a:rPr>
              <a:t>Attrition by Education Field</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PIVOT!$B$35</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PIVOT!$A$36:$A$40</c:f>
              <c:strCache>
                <c:ptCount val="4"/>
                <c:pt idx="0">
                  <c:v>Human Resources</c:v>
                </c:pt>
                <c:pt idx="1">
                  <c:v>Life Sciences</c:v>
                </c:pt>
                <c:pt idx="2">
                  <c:v>Marketing</c:v>
                </c:pt>
                <c:pt idx="3">
                  <c:v>Technical</c:v>
                </c:pt>
              </c:strCache>
            </c:strRef>
          </c:cat>
          <c:val>
            <c:numRef>
              <c:f>PIVOT!$B$36:$B$40</c:f>
              <c:numCache>
                <c:formatCode>General</c:formatCode>
                <c:ptCount val="4"/>
                <c:pt idx="0">
                  <c:v>3</c:v>
                </c:pt>
                <c:pt idx="1">
                  <c:v>4</c:v>
                </c:pt>
                <c:pt idx="2">
                  <c:v>9</c:v>
                </c:pt>
                <c:pt idx="3">
                  <c:v>4</c:v>
                </c:pt>
              </c:numCache>
            </c:numRef>
          </c:val>
          <c:extLst>
            <c:ext xmlns:c16="http://schemas.microsoft.com/office/drawing/2014/chart" uri="{C3380CC4-5D6E-409C-BE32-E72D297353CC}">
              <c16:uniqueId val="{00000000-5499-4754-B16D-CF7F047E28D4}"/>
            </c:ext>
          </c:extLst>
        </c:ser>
        <c:dLbls>
          <c:dLblPos val="outEnd"/>
          <c:showLegendKey val="0"/>
          <c:showVal val="1"/>
          <c:showCatName val="0"/>
          <c:showSerName val="0"/>
          <c:showPercent val="0"/>
          <c:showBubbleSize val="0"/>
        </c:dLbls>
        <c:gapWidth val="219"/>
        <c:overlap val="-27"/>
        <c:axId val="225620704"/>
        <c:axId val="374864448"/>
      </c:barChart>
      <c:catAx>
        <c:axId val="2256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374864448"/>
        <c:crosses val="autoZero"/>
        <c:auto val="1"/>
        <c:lblAlgn val="ctr"/>
        <c:lblOffset val="100"/>
        <c:noMultiLvlLbl val="0"/>
      </c:catAx>
      <c:valAx>
        <c:axId val="374864448"/>
        <c:scaling>
          <c:orientation val="minMax"/>
        </c:scaling>
        <c:delete val="1"/>
        <c:axPos val="l"/>
        <c:numFmt formatCode="General" sourceLinked="1"/>
        <c:majorTickMark val="none"/>
        <c:minorTickMark val="none"/>
        <c:tickLblPos val="nextTo"/>
        <c:crossAx val="22562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[Copy of HR Analytics Dashbaord Raw File.xlsx]PIVOT!PivotTable4</c:name>
    <c:fmtId val="6"/>
  </c:pivotSource>
  <c:chart>
    <c:title>
      <c:tx>
        <c:rich>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r>
              <a:rPr lang="en-US"/>
              <a:t>Attrition by Salary-Band</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PIVOT!$B$45</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PIVOT!$A$46:$A$49</c:f>
              <c:strCache>
                <c:ptCount val="3"/>
                <c:pt idx="0">
                  <c:v>High Salary</c:v>
                </c:pt>
                <c:pt idx="1">
                  <c:v>Low Salary</c:v>
                </c:pt>
                <c:pt idx="2">
                  <c:v>Medium Salary</c:v>
                </c:pt>
              </c:strCache>
            </c:strRef>
          </c:cat>
          <c:val>
            <c:numRef>
              <c:f>PIVOT!$B$46:$B$49</c:f>
              <c:numCache>
                <c:formatCode>General</c:formatCode>
                <c:ptCount val="3"/>
                <c:pt idx="0">
                  <c:v>5</c:v>
                </c:pt>
                <c:pt idx="1">
                  <c:v>4</c:v>
                </c:pt>
                <c:pt idx="2">
                  <c:v>11</c:v>
                </c:pt>
              </c:numCache>
            </c:numRef>
          </c:val>
          <c:extLst>
            <c:ext xmlns:c16="http://schemas.microsoft.com/office/drawing/2014/chart" uri="{C3380CC4-5D6E-409C-BE32-E72D297353CC}">
              <c16:uniqueId val="{00000000-5499-4754-B16D-CF7F047E28D4}"/>
            </c:ext>
          </c:extLst>
        </c:ser>
        <c:dLbls>
          <c:dLblPos val="outEnd"/>
          <c:showLegendKey val="0"/>
          <c:showVal val="1"/>
          <c:showCatName val="0"/>
          <c:showSerName val="0"/>
          <c:showPercent val="0"/>
          <c:showBubbleSize val="0"/>
        </c:dLbls>
        <c:gapWidth val="219"/>
        <c:overlap val="-27"/>
        <c:axId val="225620704"/>
        <c:axId val="374864448"/>
      </c:barChart>
      <c:catAx>
        <c:axId val="2256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374864448"/>
        <c:crosses val="autoZero"/>
        <c:auto val="1"/>
        <c:lblAlgn val="ctr"/>
        <c:lblOffset val="100"/>
        <c:noMultiLvlLbl val="0"/>
      </c:catAx>
      <c:valAx>
        <c:axId val="374864448"/>
        <c:scaling>
          <c:orientation val="minMax"/>
        </c:scaling>
        <c:delete val="1"/>
        <c:axPos val="l"/>
        <c:numFmt formatCode="General" sourceLinked="1"/>
        <c:majorTickMark val="none"/>
        <c:minorTickMark val="none"/>
        <c:tickLblPos val="nextTo"/>
        <c:crossAx val="225620704"/>
        <c:crosses val="autoZero"/>
        <c:crossBetween val="between"/>
      </c:valAx>
      <c:spPr>
        <a:noFill/>
        <a:ln>
          <a:noFill/>
        </a:ln>
        <a:effectLst/>
      </c:spPr>
    </c:plotArea>
    <c:plotVisOnly val="1"/>
    <c:dispBlanksAs val="gap"/>
    <c:showDLblsOverMax val="0"/>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[Copy of HR Analytics Dashbaord Raw File.xlsx]PIVOT!PivotTable5</c:name>
    <c:fmtId val="27"/>
  </c:pivotSource>
  <c:chart>
    <c:title>
      <c:tx>
        <c:rich>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5"/>
            <a:stretch>
              <a:fillRect/>
            </a:stretch>
          </a:blipFill>
          <a:ln>
            <a:solidFill>
              <a:sysClr val="windowText" lastClr="000000"/>
            </a:solidFill>
          </a:ln>
          <a:effectLst/>
        </c:spPr>
      </c:pivotFmt>
      <c:pivotFmt>
        <c:idx val="7"/>
        <c:spPr>
          <a:blipFill>
            <a:blip xmlns:r="http://schemas.openxmlformats.org/officeDocument/2006/relationships" r:embed="rId4"/>
            <a:stretch>
              <a:fillRect/>
            </a:stretch>
          </a:blipFill>
          <a:ln>
            <a:solidFill>
              <a:sysClr val="windowText" lastClr="000000"/>
            </a:solidFill>
          </a:ln>
          <a:effectLst/>
        </c:spPr>
      </c:pivotFmt>
    </c:pivotFmts>
    <c:plotArea>
      <c:layout/>
      <c:barChart>
        <c:barDir val="col"/>
        <c:grouping val="clustered"/>
        <c:varyColors val="0"/>
        <c:ser>
          <c:idx val="0"/>
          <c:order val="0"/>
          <c:tx>
            <c:strRef>
              <c:f>PIVOT!$B$58</c:f>
              <c:strCache>
                <c:ptCount val="1"/>
                <c:pt idx="0">
                  <c:v>Total</c:v>
                </c:pt>
              </c:strCache>
            </c:strRef>
          </c:tx>
          <c:spPr>
            <a:blipFill>
              <a:blip xmlns:r="http://schemas.openxmlformats.org/officeDocument/2006/relationships" r:embed="rId4"/>
              <a:stretch>
                <a:fillRect/>
              </a:stretch>
            </a:blipFill>
            <a:ln>
              <a:noFill/>
            </a:ln>
            <a:effectLst/>
          </c:spPr>
          <c:invertIfNegative val="0"/>
          <c:dPt>
            <c:idx val="0"/>
            <c:invertIfNegative val="0"/>
            <c:bubble3D val="0"/>
            <c:spPr>
              <a:blipFill>
                <a:blip xmlns:r="http://schemas.openxmlformats.org/officeDocument/2006/relationships" r:embed="rId5"/>
                <a:stretch>
                  <a:fillRect/>
                </a:stretch>
              </a:blipFill>
              <a:ln>
                <a:solidFill>
                  <a:sysClr val="windowText" lastClr="000000"/>
                </a:solidFill>
              </a:ln>
              <a:effectLst/>
            </c:spPr>
            <c:extLst>
              <c:ext xmlns:c16="http://schemas.microsoft.com/office/drawing/2014/chart" uri="{C3380CC4-5D6E-409C-BE32-E72D297353CC}">
                <c16:uniqueId val="{00000001-DC94-44A9-9868-0C08F4F2C106}"/>
              </c:ext>
            </c:extLst>
          </c:dPt>
          <c:dPt>
            <c:idx val="1"/>
            <c:invertIfNegative val="0"/>
            <c:bubble3D val="0"/>
            <c:spPr>
              <a:blipFill>
                <a:blip xmlns:r="http://schemas.openxmlformats.org/officeDocument/2006/relationships" r:embed="rId4"/>
                <a:stretch>
                  <a:fillRect/>
                </a:stretch>
              </a:blipFill>
              <a:ln>
                <a:solidFill>
                  <a:sysClr val="windowText" lastClr="000000"/>
                </a:solidFill>
              </a:ln>
              <a:effectLst/>
            </c:spPr>
            <c:extLst>
              <c:ext xmlns:c16="http://schemas.microsoft.com/office/drawing/2014/chart" uri="{C3380CC4-5D6E-409C-BE32-E72D297353CC}">
                <c16:uniqueId val="{00000002-DC94-44A9-9868-0C08F4F2C10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PIVOT!$A$59:$A$61</c:f>
              <c:strCache>
                <c:ptCount val="2"/>
                <c:pt idx="0">
                  <c:v>Female</c:v>
                </c:pt>
                <c:pt idx="1">
                  <c:v>Male</c:v>
                </c:pt>
              </c:strCache>
            </c:strRef>
          </c:cat>
          <c:val>
            <c:numRef>
              <c:f>PIVOT!$B$59:$B$61</c:f>
              <c:numCache>
                <c:formatCode>General</c:formatCode>
                <c:ptCount val="2"/>
                <c:pt idx="0">
                  <c:v>16</c:v>
                </c:pt>
                <c:pt idx="1">
                  <c:v>24</c:v>
                </c:pt>
              </c:numCache>
            </c:numRef>
          </c:val>
          <c:extLst>
            <c:ext xmlns:c16="http://schemas.microsoft.com/office/drawing/2014/chart" uri="{C3380CC4-5D6E-409C-BE32-E72D297353CC}">
              <c16:uniqueId val="{00000000-DC94-44A9-9868-0C08F4F2C106}"/>
            </c:ext>
          </c:extLst>
        </c:ser>
        <c:dLbls>
          <c:dLblPos val="outEnd"/>
          <c:showLegendKey val="0"/>
          <c:showVal val="1"/>
          <c:showCatName val="0"/>
          <c:showSerName val="0"/>
          <c:showPercent val="0"/>
          <c:showBubbleSize val="0"/>
        </c:dLbls>
        <c:gapWidth val="219"/>
        <c:overlap val="-27"/>
        <c:axId val="225620704"/>
        <c:axId val="374864448"/>
      </c:barChart>
      <c:catAx>
        <c:axId val="2256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374864448"/>
        <c:crosses val="autoZero"/>
        <c:auto val="1"/>
        <c:lblAlgn val="ctr"/>
        <c:lblOffset val="100"/>
        <c:noMultiLvlLbl val="0"/>
      </c:catAx>
      <c:valAx>
        <c:axId val="374864448"/>
        <c:scaling>
          <c:orientation val="minMax"/>
        </c:scaling>
        <c:delete val="1"/>
        <c:axPos val="l"/>
        <c:numFmt formatCode="General" sourceLinked="1"/>
        <c:majorTickMark val="none"/>
        <c:minorTickMark val="none"/>
        <c:tickLblPos val="nextTo"/>
        <c:crossAx val="225620704"/>
        <c:crosses val="autoZero"/>
        <c:crossBetween val="between"/>
      </c:valAx>
      <c:spPr>
        <a:noFill/>
        <a:ln>
          <a:noFill/>
        </a:ln>
        <a:effectLst/>
      </c:spPr>
    </c:plotArea>
    <c:plotVisOnly val="1"/>
    <c:dispBlanksAs val="gap"/>
    <c:showDLblsOverMax val="0"/>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[Copy of HR Analytics Dashbaord Raw File.xlsx]PIVOT!PivotTable6</c:name>
    <c:fmtId val="35"/>
  </c:pivotSource>
  <c:chart>
    <c:title>
      <c:tx>
        <c:rich>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5">
                    <a:lumMod val="50000"/>
                  </a:schemeClr>
                </a:solidFill>
              </a:ln>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sng" strike="noStrike" kern="1200" baseline="0">
                  <a:solidFill>
                    <a:schemeClr val="bg1"/>
                  </a:solidFill>
                  <a:uFill>
                    <a:solidFill>
                      <a:schemeClr val="bg1"/>
                    </a:solidFill>
                  </a:u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F9ED5">
              <a:lumMod val="60000"/>
              <a:lumOff val="40000"/>
            </a:srgbClr>
          </a:solidFill>
          <a:ln>
            <a:noFill/>
          </a:ln>
          <a:effectLst/>
        </c:spPr>
      </c:pivotFmt>
      <c:pivotFmt>
        <c:idx val="5"/>
        <c:spPr>
          <a:solidFill>
            <a:srgbClr val="196B24">
              <a:lumMod val="75000"/>
            </a:srgbClr>
          </a:solidFill>
          <a:ln>
            <a:noFill/>
          </a:ln>
          <a:effectLst/>
        </c:spPr>
      </c:pivotFmt>
      <c:pivotFmt>
        <c:idx val="6"/>
        <c:spPr>
          <a:solidFill>
            <a:srgbClr val="E97132">
              <a:lumMod val="40000"/>
              <a:lumOff val="60000"/>
            </a:srgbClr>
          </a:solidFill>
          <a:ln>
            <a:noFill/>
          </a:ln>
          <a:effectLst/>
        </c:spPr>
      </c:pivotFmt>
      <c:pivotFmt>
        <c:idx val="7"/>
        <c:spPr>
          <a:solidFill>
            <a:srgbClr val="E97132">
              <a:lumMod val="50000"/>
            </a:srgbClr>
          </a:solidFill>
          <a:ln>
            <a:noFill/>
          </a:ln>
          <a:effectLst/>
        </c:spPr>
      </c:pivotFmt>
      <c:pivotFmt>
        <c:idx val="8"/>
        <c:spPr>
          <a:solidFill>
            <a:srgbClr val="196B24">
              <a:lumMod val="60000"/>
              <a:lumOff val="40000"/>
            </a:srgbClr>
          </a:solidFill>
          <a:ln>
            <a:noFill/>
          </a:ln>
          <a:effectLst/>
        </c:spPr>
      </c:pivotFmt>
      <c:pivotFmt>
        <c:idx val="9"/>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sng" strike="noStrike" kern="1200" baseline="0">
                  <a:solidFill>
                    <a:schemeClr val="bg1"/>
                  </a:solidFill>
                  <a:uFill>
                    <a:solidFill>
                      <a:schemeClr val="bg1"/>
                    </a:solidFill>
                  </a:u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97132">
              <a:lumMod val="40000"/>
              <a:lumOff val="60000"/>
            </a:srgbClr>
          </a:solidFill>
          <a:ln>
            <a:noFill/>
          </a:ln>
          <a:effectLst/>
        </c:spPr>
      </c:pivotFmt>
      <c:pivotFmt>
        <c:idx val="11"/>
        <c:spPr>
          <a:solidFill>
            <a:srgbClr val="196B24">
              <a:lumMod val="75000"/>
            </a:srgbClr>
          </a:solidFill>
          <a:ln>
            <a:noFill/>
          </a:ln>
          <a:effectLst/>
        </c:spPr>
      </c:pivotFmt>
      <c:pivotFmt>
        <c:idx val="12"/>
        <c:spPr>
          <a:solidFill>
            <a:srgbClr val="0F9ED5">
              <a:lumMod val="60000"/>
              <a:lumOff val="40000"/>
            </a:srgbClr>
          </a:solidFill>
          <a:ln>
            <a:noFill/>
          </a:ln>
          <a:effectLst/>
        </c:spPr>
      </c:pivotFmt>
      <c:pivotFmt>
        <c:idx val="13"/>
        <c:spPr>
          <a:solidFill>
            <a:srgbClr val="196B24">
              <a:lumMod val="60000"/>
              <a:lumOff val="40000"/>
            </a:srgbClr>
          </a:solidFill>
          <a:ln>
            <a:noFill/>
          </a:ln>
          <a:effectLst/>
        </c:spPr>
      </c:pivotFmt>
      <c:pivotFmt>
        <c:idx val="14"/>
        <c:spPr>
          <a:solidFill>
            <a:schemeClr val="accent5">
              <a:lumMod val="50000"/>
            </a:schemeClr>
          </a:solidFill>
          <a:ln>
            <a:noFill/>
          </a:ln>
          <a:effectLst/>
        </c:spPr>
      </c:pivotFmt>
      <c:pivotFmt>
        <c:idx val="15"/>
        <c:spPr>
          <a:solidFill>
            <a:srgbClr val="E97132">
              <a:lumMod val="50000"/>
            </a:srgbClr>
          </a:solidFill>
          <a:ln>
            <a:noFill/>
          </a:ln>
          <a:effectLst/>
        </c:spPr>
      </c:pivotFmt>
      <c:pivotFmt>
        <c:idx val="1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sng" strike="noStrike" kern="1200" baseline="0">
                  <a:solidFill>
                    <a:schemeClr val="bg1"/>
                  </a:solidFill>
                  <a:uFill>
                    <a:solidFill>
                      <a:schemeClr val="bg1"/>
                    </a:solidFill>
                  </a:u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E97132">
              <a:lumMod val="40000"/>
              <a:lumOff val="60000"/>
            </a:srgbClr>
          </a:solidFill>
          <a:ln>
            <a:noFill/>
          </a:ln>
          <a:effectLst/>
        </c:spPr>
      </c:pivotFmt>
      <c:pivotFmt>
        <c:idx val="18"/>
        <c:spPr>
          <a:solidFill>
            <a:srgbClr val="196B24">
              <a:lumMod val="75000"/>
            </a:srgbClr>
          </a:solidFill>
          <a:ln>
            <a:noFill/>
          </a:ln>
          <a:effectLst/>
        </c:spPr>
      </c:pivotFmt>
      <c:pivotFmt>
        <c:idx val="19"/>
        <c:spPr>
          <a:solidFill>
            <a:srgbClr val="0F9ED5">
              <a:lumMod val="60000"/>
              <a:lumOff val="40000"/>
            </a:srgbClr>
          </a:solidFill>
          <a:ln>
            <a:noFill/>
          </a:ln>
          <a:effectLst/>
        </c:spPr>
      </c:pivotFmt>
      <c:pivotFmt>
        <c:idx val="20"/>
        <c:spPr>
          <a:solidFill>
            <a:srgbClr val="196B24">
              <a:lumMod val="60000"/>
              <a:lumOff val="40000"/>
            </a:srgbClr>
          </a:solidFill>
          <a:ln>
            <a:noFill/>
          </a:ln>
          <a:effectLst/>
        </c:spPr>
      </c:pivotFmt>
      <c:pivotFmt>
        <c:idx val="21"/>
        <c:spPr>
          <a:solidFill>
            <a:schemeClr val="accent5">
              <a:lumMod val="50000"/>
            </a:schemeClr>
          </a:solidFill>
          <a:ln>
            <a:noFill/>
          </a:ln>
          <a:effectLst/>
        </c:spPr>
      </c:pivotFmt>
      <c:pivotFmt>
        <c:idx val="22"/>
        <c:spPr>
          <a:solidFill>
            <a:srgbClr val="E97132">
              <a:lumMod val="50000"/>
            </a:srgbClr>
          </a:solidFill>
          <a:ln>
            <a:noFill/>
          </a:ln>
          <a:effectLst/>
        </c:spPr>
      </c:pivotFmt>
    </c:pivotFmts>
    <c:plotArea>
      <c:layout/>
      <c:pieChart>
        <c:varyColors val="1"/>
        <c:ser>
          <c:idx val="0"/>
          <c:order val="0"/>
          <c:tx>
            <c:strRef>
              <c:f>PIVOT!$B$77</c:f>
              <c:strCache>
                <c:ptCount val="1"/>
                <c:pt idx="0">
                  <c:v>Total</c:v>
                </c:pt>
              </c:strCache>
            </c:strRef>
          </c:tx>
          <c:spPr>
            <a:solidFill>
              <a:schemeClr val="accent5">
                <a:lumMod val="50000"/>
              </a:schemeClr>
            </a:solidFill>
          </c:spPr>
          <c:dPt>
            <c:idx val="0"/>
            <c:bubble3D val="0"/>
            <c:spPr>
              <a:solidFill>
                <a:srgbClr val="E97132">
                  <a:lumMod val="40000"/>
                  <a:lumOff val="60000"/>
                </a:srgbClr>
              </a:solidFill>
              <a:ln>
                <a:noFill/>
              </a:ln>
              <a:effectLst/>
            </c:spPr>
            <c:extLst>
              <c:ext xmlns:c16="http://schemas.microsoft.com/office/drawing/2014/chart" uri="{C3380CC4-5D6E-409C-BE32-E72D297353CC}">
                <c16:uniqueId val="{00000001-A87C-45DE-9678-990E67395AFE}"/>
              </c:ext>
            </c:extLst>
          </c:dPt>
          <c:dPt>
            <c:idx val="1"/>
            <c:bubble3D val="0"/>
            <c:spPr>
              <a:solidFill>
                <a:srgbClr val="196B24">
                  <a:lumMod val="75000"/>
                </a:srgbClr>
              </a:solidFill>
              <a:ln>
                <a:noFill/>
              </a:ln>
              <a:effectLst/>
            </c:spPr>
            <c:extLst>
              <c:ext xmlns:c16="http://schemas.microsoft.com/office/drawing/2014/chart" uri="{C3380CC4-5D6E-409C-BE32-E72D297353CC}">
                <c16:uniqueId val="{00000003-A87C-45DE-9678-990E67395AFE}"/>
              </c:ext>
            </c:extLst>
          </c:dPt>
          <c:dPt>
            <c:idx val="2"/>
            <c:bubble3D val="0"/>
            <c:spPr>
              <a:solidFill>
                <a:srgbClr val="0F9ED5">
                  <a:lumMod val="60000"/>
                  <a:lumOff val="40000"/>
                </a:srgbClr>
              </a:solidFill>
              <a:ln>
                <a:noFill/>
              </a:ln>
              <a:effectLst/>
            </c:spPr>
            <c:extLst>
              <c:ext xmlns:c16="http://schemas.microsoft.com/office/drawing/2014/chart" uri="{C3380CC4-5D6E-409C-BE32-E72D297353CC}">
                <c16:uniqueId val="{00000005-A87C-45DE-9678-990E67395AFE}"/>
              </c:ext>
            </c:extLst>
          </c:dPt>
          <c:dPt>
            <c:idx val="3"/>
            <c:bubble3D val="0"/>
            <c:spPr>
              <a:solidFill>
                <a:srgbClr val="196B24">
                  <a:lumMod val="60000"/>
                  <a:lumOff val="40000"/>
                </a:srgbClr>
              </a:solidFill>
              <a:ln>
                <a:noFill/>
              </a:ln>
              <a:effectLst/>
            </c:spPr>
            <c:extLst>
              <c:ext xmlns:c16="http://schemas.microsoft.com/office/drawing/2014/chart" uri="{C3380CC4-5D6E-409C-BE32-E72D297353CC}">
                <c16:uniqueId val="{00000007-A87C-45DE-9678-990E67395AFE}"/>
              </c:ext>
            </c:extLst>
          </c:dPt>
          <c:dPt>
            <c:idx val="4"/>
            <c:bubble3D val="0"/>
            <c:spPr>
              <a:solidFill>
                <a:schemeClr val="accent5">
                  <a:lumMod val="50000"/>
                </a:schemeClr>
              </a:solidFill>
              <a:ln>
                <a:noFill/>
              </a:ln>
              <a:effectLst/>
            </c:spPr>
            <c:extLst>
              <c:ext xmlns:c16="http://schemas.microsoft.com/office/drawing/2014/chart" uri="{C3380CC4-5D6E-409C-BE32-E72D297353CC}">
                <c16:uniqueId val="{00000009-A87C-45DE-9678-990E67395AFE}"/>
              </c:ext>
            </c:extLst>
          </c:dPt>
          <c:dPt>
            <c:idx val="5"/>
            <c:bubble3D val="0"/>
            <c:spPr>
              <a:solidFill>
                <a:srgbClr val="E97132">
                  <a:lumMod val="50000"/>
                </a:srgbClr>
              </a:solidFill>
              <a:ln>
                <a:noFill/>
              </a:ln>
              <a:effectLst/>
            </c:spPr>
            <c:extLst>
              <c:ext xmlns:c16="http://schemas.microsoft.com/office/drawing/2014/chart" uri="{C3380CC4-5D6E-409C-BE32-E72D297353CC}">
                <c16:uniqueId val="{0000000B-A87C-45DE-9678-990E67395AFE}"/>
              </c:ext>
            </c:extLst>
          </c:dPt>
          <c:dLbls>
            <c:spPr>
              <a:noFill/>
              <a:ln>
                <a:noFill/>
              </a:ln>
              <a:effectLst/>
            </c:spPr>
            <c:txPr>
              <a:bodyPr rot="0" spcFirstLastPara="1" vertOverflow="ellipsis" vert="horz" wrap="square" lIns="38100" tIns="19050" rIns="38100" bIns="19050" anchor="ctr" anchorCtr="1">
                <a:spAutoFit/>
              </a:bodyPr>
              <a:lstStyle/>
              <a:p>
                <a:pPr>
                  <a:defRPr sz="1050" b="1" i="0" u="sng" strike="noStrike" kern="1200" baseline="0">
                    <a:solidFill>
                      <a:schemeClr val="bg1"/>
                    </a:solidFill>
                    <a:uFill>
                      <a:solidFill>
                        <a:schemeClr val="bg1"/>
                      </a:solidFill>
                    </a:u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PIVOT!$A$78:$A$84</c:f>
              <c:strCache>
                <c:ptCount val="6"/>
                <c:pt idx="0">
                  <c:v>HR Executive</c:v>
                </c:pt>
                <c:pt idx="1">
                  <c:v>HR Manager</c:v>
                </c:pt>
                <c:pt idx="2">
                  <c:v>Lab Technician</c:v>
                </c:pt>
                <c:pt idx="3">
                  <c:v>Research Scientist</c:v>
                </c:pt>
                <c:pt idx="4">
                  <c:v>Sales Executive</c:v>
                </c:pt>
                <c:pt idx="5">
                  <c:v>Sales Representative</c:v>
                </c:pt>
              </c:strCache>
            </c:strRef>
          </c:cat>
          <c:val>
            <c:numRef>
              <c:f>PIVOT!$B$78:$B$84</c:f>
              <c:numCache>
                <c:formatCode>General</c:formatCode>
                <c:ptCount val="6"/>
                <c:pt idx="0">
                  <c:v>1</c:v>
                </c:pt>
                <c:pt idx="1">
                  <c:v>2</c:v>
                </c:pt>
                <c:pt idx="2">
                  <c:v>4</c:v>
                </c:pt>
                <c:pt idx="3">
                  <c:v>4</c:v>
                </c:pt>
                <c:pt idx="4">
                  <c:v>7</c:v>
                </c:pt>
                <c:pt idx="5">
                  <c:v>2</c:v>
                </c:pt>
              </c:numCache>
            </c:numRef>
          </c:val>
          <c:extLst>
            <c:ext xmlns:c16="http://schemas.microsoft.com/office/drawing/2014/chart" uri="{C3380CC4-5D6E-409C-BE32-E72D297353CC}">
              <c16:uniqueId val="{0000000C-A87C-45DE-9678-990E67395A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ysClr val="window" lastClr="FFFFFF">
        <a:lumMod val="95000"/>
      </a:sys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 Analytics Dashbaord Raw File.xlsx]PIVOT!PivotTable1</c:name>
    <c:fmtId val="3"/>
  </c:pivotSource>
  <c:chart>
    <c:title>
      <c:tx>
        <c:rich>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r>
              <a:rPr lang="en-US" b="1">
                <a:solidFill>
                  <a:schemeClr val="accent5">
                    <a:lumMod val="50000"/>
                  </a:schemeClr>
                </a:solidFill>
              </a:rPr>
              <a:t>Attrition by Department</a:t>
            </a:r>
          </a:p>
          <a:p>
            <a:pPr>
              <a:defRPr b="1">
                <a:solidFill>
                  <a:schemeClr val="accent5">
                    <a:lumMod val="50000"/>
                  </a:schemeClr>
                </a:solidFill>
              </a:defRPr>
            </a:pPr>
            <a:endParaRPr lang="en-US" b="1">
              <a:solidFill>
                <a:schemeClr val="accent5">
                  <a:lumMod val="50000"/>
                </a:schemeClr>
              </a:solidFill>
            </a:endParaRPr>
          </a:p>
        </c:rich>
      </c:tx>
      <c:layout>
        <c:manualLayout>
          <c:xMode val="edge"/>
          <c:yMode val="edge"/>
          <c:x val="0.22494170786791187"/>
          <c:y val="2.33918128654970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layout>
            <c:manualLayout>
              <c:x val="3.4883720930232558E-2"/>
              <c:y val="7.017543859649119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5">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171296296296298"/>
          <c:w val="0.93888888888888888"/>
          <c:h val="0.72088764946048411"/>
        </c:manualLayout>
      </c:layout>
      <c:pieChart>
        <c:varyColors val="1"/>
        <c:ser>
          <c:idx val="0"/>
          <c:order val="0"/>
          <c:tx>
            <c:strRef>
              <c:f>PIVOT!$B$3</c:f>
              <c:strCache>
                <c:ptCount val="1"/>
                <c:pt idx="0">
                  <c:v>Total</c:v>
                </c:pt>
              </c:strCache>
            </c:strRef>
          </c:tx>
          <c:dPt>
            <c:idx val="0"/>
            <c:bubble3D val="0"/>
            <c:spPr>
              <a:solidFill>
                <a:schemeClr val="accent6">
                  <a:lumMod val="60000"/>
                  <a:lumOff val="40000"/>
                </a:schemeClr>
              </a:solidFill>
              <a:ln>
                <a:noFill/>
              </a:ln>
              <a:effectLst/>
            </c:spPr>
            <c:extLst>
              <c:ext xmlns:c16="http://schemas.microsoft.com/office/drawing/2014/chart" uri="{C3380CC4-5D6E-409C-BE32-E72D297353CC}">
                <c16:uniqueId val="{00000001-4134-408C-B2E6-DD8D0F39DFCF}"/>
              </c:ext>
            </c:extLst>
          </c:dPt>
          <c:dPt>
            <c:idx val="1"/>
            <c:bubble3D val="0"/>
            <c:spPr>
              <a:solidFill>
                <a:schemeClr val="accent2"/>
              </a:solidFill>
              <a:ln>
                <a:noFill/>
              </a:ln>
              <a:effectLst/>
            </c:spPr>
          </c:dPt>
          <c:dPt>
            <c:idx val="2"/>
            <c:bubble3D val="0"/>
            <c:spPr>
              <a:solidFill>
                <a:schemeClr val="accent3"/>
              </a:solidFill>
              <a:ln>
                <a:noFill/>
              </a:ln>
              <a:effectLst/>
            </c:spPr>
            <c:extLst>
              <c:ext xmlns:c16="http://schemas.microsoft.com/office/drawing/2014/chart" uri="{C3380CC4-5D6E-409C-BE32-E72D297353CC}">
                <c16:uniqueId val="{00000002-4134-408C-B2E6-DD8D0F39DFCF}"/>
              </c:ext>
            </c:extLst>
          </c:dPt>
          <c:dLbls>
            <c:dLbl>
              <c:idx val="0"/>
              <c:layout>
                <c:manualLayout>
                  <c:x val="3.4883720930232558E-2"/>
                  <c:y val="7.017543859649119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34-408C-B2E6-DD8D0F39DFC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PIVOT!$A$4:$A$7</c:f>
              <c:strCache>
                <c:ptCount val="3"/>
                <c:pt idx="0">
                  <c:v>HR</c:v>
                </c:pt>
                <c:pt idx="1">
                  <c:v>R&amp;D</c:v>
                </c:pt>
                <c:pt idx="2">
                  <c:v>Sales</c:v>
                </c:pt>
              </c:strCache>
            </c:strRef>
          </c:cat>
          <c:val>
            <c:numRef>
              <c:f>PIVOT!$B$4:$B$7</c:f>
              <c:numCache>
                <c:formatCode>General</c:formatCode>
                <c:ptCount val="3"/>
                <c:pt idx="0">
                  <c:v>3</c:v>
                </c:pt>
                <c:pt idx="1">
                  <c:v>8</c:v>
                </c:pt>
                <c:pt idx="2">
                  <c:v>9</c:v>
                </c:pt>
              </c:numCache>
            </c:numRef>
          </c:val>
          <c:extLst>
            <c:ext xmlns:c16="http://schemas.microsoft.com/office/drawing/2014/chart" uri="{C3380CC4-5D6E-409C-BE32-E72D297353CC}">
              <c16:uniqueId val="{00000000-4134-408C-B2E6-DD8D0F39DF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68580</xdr:colOff>
      <xdr:row>1</xdr:row>
      <xdr:rowOff>3810</xdr:rowOff>
    </xdr:from>
    <xdr:to>
      <xdr:col>9</xdr:col>
      <xdr:colOff>662940</xdr:colOff>
      <xdr:row>9</xdr:row>
      <xdr:rowOff>45720</xdr:rowOff>
    </xdr:to>
    <xdr:graphicFrame macro="">
      <xdr:nvGraphicFramePr>
        <xdr:cNvPr id="2" name="Chart 1">
          <a:extLst>
            <a:ext uri="{FF2B5EF4-FFF2-40B4-BE49-F238E27FC236}">
              <a16:creationId xmlns:a16="http://schemas.microsoft.com/office/drawing/2014/main" id="{26D7B7B3-26BE-42B7-BB5E-B04E6FE6D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xdr:colOff>
      <xdr:row>20</xdr:row>
      <xdr:rowOff>11430</xdr:rowOff>
    </xdr:from>
    <xdr:to>
      <xdr:col>10</xdr:col>
      <xdr:colOff>0</xdr:colOff>
      <xdr:row>29</xdr:row>
      <xdr:rowOff>106680</xdr:rowOff>
    </xdr:to>
    <xdr:graphicFrame macro="">
      <xdr:nvGraphicFramePr>
        <xdr:cNvPr id="3" name="Chart 2">
          <a:extLst>
            <a:ext uri="{FF2B5EF4-FFF2-40B4-BE49-F238E27FC236}">
              <a16:creationId xmlns:a16="http://schemas.microsoft.com/office/drawing/2014/main" id="{B4120654-DBED-4386-9EA0-438EC831B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659130</xdr:colOff>
      <xdr:row>32</xdr:row>
      <xdr:rowOff>148590</xdr:rowOff>
    </xdr:from>
    <xdr:to>
      <xdr:col>9</xdr:col>
      <xdr:colOff>537210</xdr:colOff>
      <xdr:row>41</xdr:row>
      <xdr:rowOff>76200</xdr:rowOff>
    </xdr:to>
    <xdr:graphicFrame macro="">
      <xdr:nvGraphicFramePr>
        <xdr:cNvPr id="4" name="Chart 3">
          <a:extLst>
            <a:ext uri="{FF2B5EF4-FFF2-40B4-BE49-F238E27FC236}">
              <a16:creationId xmlns:a16="http://schemas.microsoft.com/office/drawing/2014/main" id="{30013636-CF36-436F-9DF5-01F4A9A7E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529590</xdr:colOff>
      <xdr:row>43</xdr:row>
      <xdr:rowOff>110490</xdr:rowOff>
    </xdr:from>
    <xdr:to>
      <xdr:col>9</xdr:col>
      <xdr:colOff>407670</xdr:colOff>
      <xdr:row>53</xdr:row>
      <xdr:rowOff>121920</xdr:rowOff>
    </xdr:to>
    <xdr:graphicFrame macro="">
      <xdr:nvGraphicFramePr>
        <xdr:cNvPr id="5" name="Chart 4">
          <a:extLst>
            <a:ext uri="{FF2B5EF4-FFF2-40B4-BE49-F238E27FC236}">
              <a16:creationId xmlns:a16="http://schemas.microsoft.com/office/drawing/2014/main" id="{FB2A6EE1-5D44-40B2-9D68-DF58FD956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514350</xdr:colOff>
      <xdr:row>57</xdr:row>
      <xdr:rowOff>148590</xdr:rowOff>
    </xdr:from>
    <xdr:to>
      <xdr:col>8</xdr:col>
      <xdr:colOff>560070</xdr:colOff>
      <xdr:row>73</xdr:row>
      <xdr:rowOff>87630</xdr:rowOff>
    </xdr:to>
    <xdr:graphicFrame macro="">
      <xdr:nvGraphicFramePr>
        <xdr:cNvPr id="6" name="Chart 5">
          <a:extLst>
            <a:ext uri="{FF2B5EF4-FFF2-40B4-BE49-F238E27FC236}">
              <a16:creationId xmlns:a16="http://schemas.microsoft.com/office/drawing/2014/main" id="{FB5BD3AD-1CC6-E498-060E-5735857F9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842010</xdr:colOff>
      <xdr:row>73</xdr:row>
      <xdr:rowOff>80010</xdr:rowOff>
    </xdr:from>
    <xdr:to>
      <xdr:col>9</xdr:col>
      <xdr:colOff>171450</xdr:colOff>
      <xdr:row>89</xdr:row>
      <xdr:rowOff>19050</xdr:rowOff>
    </xdr:to>
    <xdr:graphicFrame macro="">
      <xdr:nvGraphicFramePr>
        <xdr:cNvPr id="7" name="Chart 6">
          <a:extLst>
            <a:ext uri="{FF2B5EF4-FFF2-40B4-BE49-F238E27FC236}">
              <a16:creationId xmlns:a16="http://schemas.microsoft.com/office/drawing/2014/main" id="{35E92B8F-5C5C-A85A-F116-20BB44C6E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129540</xdr:colOff>
      <xdr:row>0</xdr:row>
      <xdr:rowOff>91440</xdr:rowOff>
    </xdr:from>
    <xdr:to>
      <xdr:col>12</xdr:col>
      <xdr:colOff>120316</xdr:colOff>
      <xdr:row>5</xdr:row>
      <xdr:rowOff>22860</xdr:rowOff>
    </xdr:to>
    <xdr:sp macro="" textlink="">
      <xdr:nvSpPr>
        <xdr:cNvPr id="2" name="TextBox 1">
          <a:extLst>
            <a:ext uri="{FF2B5EF4-FFF2-40B4-BE49-F238E27FC236}">
              <a16:creationId xmlns:a16="http://schemas.microsoft.com/office/drawing/2014/main" id="{18A03342-C096-A491-125D-DAC9FA2CE3AA}"/>
            </a:ext>
          </a:extLst>
        </xdr:cNvPr>
        <xdr:cNvSpPr txBox="1"/>
      </xdr:nvSpPr>
      <xdr:spPr>
        <a:xfrm>
          <a:off x="129540" y="91440"/>
          <a:ext cx="8051934" cy="783657"/>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solidFill>
            </a:rPr>
            <a:t>HR Attrition Dashboard</a:t>
          </a:r>
        </a:p>
      </xdr:txBody>
    </xdr:sp>
    <xdr:clientData/>
  </xdr:twoCellAnchor>
  <xdr:twoCellAnchor>
    <xdr:from>
      <xdr:col>12</xdr:col>
      <xdr:colOff>170448</xdr:colOff>
      <xdr:row>0</xdr:row>
      <xdr:rowOff>89033</xdr:rowOff>
    </xdr:from>
    <xdr:to>
      <xdr:col>25</xdr:col>
      <xdr:colOff>170447</xdr:colOff>
      <xdr:row>5</xdr:row>
      <xdr:rowOff>20052</xdr:rowOff>
    </xdr:to>
    <xdr:sp macro="" textlink="">
      <xdr:nvSpPr>
        <xdr:cNvPr id="3" name="TextBox 2">
          <a:extLst>
            <a:ext uri="{FF2B5EF4-FFF2-40B4-BE49-F238E27FC236}">
              <a16:creationId xmlns:a16="http://schemas.microsoft.com/office/drawing/2014/main" id="{6CDF7DA6-9BC7-F6D0-96F3-D686833B26B0}"/>
            </a:ext>
          </a:extLst>
        </xdr:cNvPr>
        <xdr:cNvSpPr txBox="1"/>
      </xdr:nvSpPr>
      <xdr:spPr>
        <a:xfrm>
          <a:off x="8231606" y="89033"/>
          <a:ext cx="8732920" cy="783256"/>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12</xdr:col>
      <xdr:colOff>396640</xdr:colOff>
      <xdr:row>0</xdr:row>
      <xdr:rowOff>89354</xdr:rowOff>
    </xdr:from>
    <xdr:to>
      <xdr:col>13</xdr:col>
      <xdr:colOff>471237</xdr:colOff>
      <xdr:row>4</xdr:row>
      <xdr:rowOff>131946</xdr:rowOff>
    </xdr:to>
    <xdr:pic>
      <xdr:nvPicPr>
        <xdr:cNvPr id="5" name="Graphic 4" descr="Thumbs up sign with solid fill">
          <a:extLst>
            <a:ext uri="{FF2B5EF4-FFF2-40B4-BE49-F238E27FC236}">
              <a16:creationId xmlns:a16="http://schemas.microsoft.com/office/drawing/2014/main" id="{29E96A32-1283-CA24-1A8B-9381764D0C3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57798" y="89354"/>
          <a:ext cx="746360" cy="724381"/>
        </a:xfrm>
        <a:prstGeom prst="rect">
          <a:avLst/>
        </a:prstGeom>
      </xdr:spPr>
    </xdr:pic>
    <xdr:clientData/>
  </xdr:twoCellAnchor>
  <xdr:oneCellAnchor>
    <xdr:from>
      <xdr:col>13</xdr:col>
      <xdr:colOff>210553</xdr:colOff>
      <xdr:row>1</xdr:row>
      <xdr:rowOff>96097</xdr:rowOff>
    </xdr:from>
    <xdr:ext cx="3850105" cy="468013"/>
    <xdr:sp macro="" textlink="">
      <xdr:nvSpPr>
        <xdr:cNvPr id="6" name="TextBox 5">
          <a:extLst>
            <a:ext uri="{FF2B5EF4-FFF2-40B4-BE49-F238E27FC236}">
              <a16:creationId xmlns:a16="http://schemas.microsoft.com/office/drawing/2014/main" id="{D957A78F-A89D-9ECA-8F61-278D092EF296}"/>
            </a:ext>
          </a:extLst>
        </xdr:cNvPr>
        <xdr:cNvSpPr txBox="1"/>
      </xdr:nvSpPr>
      <xdr:spPr>
        <a:xfrm>
          <a:off x="8943474" y="266544"/>
          <a:ext cx="385010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400" b="1">
              <a:solidFill>
                <a:schemeClr val="bg1"/>
              </a:solidFill>
            </a:rPr>
            <a:t>Job Satisfaction Rating</a:t>
          </a:r>
        </a:p>
      </xdr:txBody>
    </xdr:sp>
    <xdr:clientData/>
  </xdr:oneCellAnchor>
  <xdr:twoCellAnchor>
    <xdr:from>
      <xdr:col>0</xdr:col>
      <xdr:colOff>160020</xdr:colOff>
      <xdr:row>6</xdr:row>
      <xdr:rowOff>64770</xdr:rowOff>
    </xdr:from>
    <xdr:to>
      <xdr:col>3</xdr:col>
      <xdr:colOff>388620</xdr:colOff>
      <xdr:row>11</xdr:row>
      <xdr:rowOff>95250</xdr:rowOff>
    </xdr:to>
    <xdr:sp macro="" textlink="PIVOT!$B$13">
      <xdr:nvSpPr>
        <xdr:cNvPr id="8" name="Rectangle: Rounded Corners 7">
          <a:extLst>
            <a:ext uri="{FF2B5EF4-FFF2-40B4-BE49-F238E27FC236}">
              <a16:creationId xmlns:a16="http://schemas.microsoft.com/office/drawing/2014/main" id="{74AD6CF1-9477-E328-F72C-AA5F1BBD76CD}"/>
            </a:ext>
          </a:extLst>
        </xdr:cNvPr>
        <xdr:cNvSpPr/>
      </xdr:nvSpPr>
      <xdr:spPr>
        <a:xfrm>
          <a:off x="160020" y="1116330"/>
          <a:ext cx="2240280" cy="90678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E0FE58C-C835-4B1C-8E74-205FCCFA5392}" type="TxLink">
            <a:rPr lang="en-US" sz="2800" b="0" i="0" u="none" strike="noStrike">
              <a:solidFill>
                <a:schemeClr val="bg1"/>
              </a:solidFill>
              <a:latin typeface="Aptos Narrow"/>
            </a:rPr>
            <a:t>40</a:t>
          </a:fld>
          <a:endParaRPr lang="en-US" sz="2800">
            <a:solidFill>
              <a:schemeClr val="bg1"/>
            </a:solidFill>
          </a:endParaRPr>
        </a:p>
      </xdr:txBody>
    </xdr:sp>
    <xdr:clientData/>
  </xdr:twoCellAnchor>
  <xdr:twoCellAnchor>
    <xdr:from>
      <xdr:col>0</xdr:col>
      <xdr:colOff>198120</xdr:colOff>
      <xdr:row>6</xdr:row>
      <xdr:rowOff>121920</xdr:rowOff>
    </xdr:from>
    <xdr:to>
      <xdr:col>3</xdr:col>
      <xdr:colOff>243840</xdr:colOff>
      <xdr:row>9</xdr:row>
      <xdr:rowOff>160020</xdr:rowOff>
    </xdr:to>
    <xdr:sp macro="" textlink="">
      <xdr:nvSpPr>
        <xdr:cNvPr id="9" name="TextBox 8">
          <a:extLst>
            <a:ext uri="{FF2B5EF4-FFF2-40B4-BE49-F238E27FC236}">
              <a16:creationId xmlns:a16="http://schemas.microsoft.com/office/drawing/2014/main" id="{8420D161-5CD6-D33A-884B-7D9AD06BEF43}"/>
            </a:ext>
          </a:extLst>
        </xdr:cNvPr>
        <xdr:cNvSpPr txBox="1"/>
      </xdr:nvSpPr>
      <xdr:spPr>
        <a:xfrm>
          <a:off x="198120" y="1173480"/>
          <a:ext cx="205740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a:t>
          </a:r>
          <a:r>
            <a:rPr lang="en-US" sz="1600" b="1" baseline="0">
              <a:solidFill>
                <a:schemeClr val="bg1"/>
              </a:solidFill>
            </a:rPr>
            <a:t> EMPLOYEES</a:t>
          </a:r>
        </a:p>
        <a:p>
          <a:pPr algn="ctr"/>
          <a:endParaRPr lang="en-US" sz="1200" b="1">
            <a:solidFill>
              <a:schemeClr val="bg1"/>
            </a:solidFill>
          </a:endParaRPr>
        </a:p>
      </xdr:txBody>
    </xdr:sp>
    <xdr:clientData/>
  </xdr:twoCellAnchor>
  <xdr:twoCellAnchor>
    <xdr:from>
      <xdr:col>3</xdr:col>
      <xdr:colOff>426720</xdr:colOff>
      <xdr:row>6</xdr:row>
      <xdr:rowOff>64770</xdr:rowOff>
    </xdr:from>
    <xdr:to>
      <xdr:col>7</xdr:col>
      <xdr:colOff>83820</xdr:colOff>
      <xdr:row>11</xdr:row>
      <xdr:rowOff>95250</xdr:rowOff>
    </xdr:to>
    <xdr:sp macro="" textlink="PIVOT!$B$19">
      <xdr:nvSpPr>
        <xdr:cNvPr id="10" name="Rectangle: Rounded Corners 9">
          <a:extLst>
            <a:ext uri="{FF2B5EF4-FFF2-40B4-BE49-F238E27FC236}">
              <a16:creationId xmlns:a16="http://schemas.microsoft.com/office/drawing/2014/main" id="{0C414335-9EB0-4815-8966-7B74C903D05A}"/>
            </a:ext>
          </a:extLst>
        </xdr:cNvPr>
        <xdr:cNvSpPr/>
      </xdr:nvSpPr>
      <xdr:spPr>
        <a:xfrm>
          <a:off x="2438400" y="1116330"/>
          <a:ext cx="2339340" cy="90678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EF7899C-D92A-4454-82E4-6347A3913792}" type="TxLink">
            <a:rPr lang="en-US" sz="2800" b="0" i="0" u="none" strike="noStrike">
              <a:solidFill>
                <a:schemeClr val="bg1"/>
              </a:solidFill>
              <a:latin typeface="Aptos Narrow"/>
            </a:rPr>
            <a:t>20</a:t>
          </a:fld>
          <a:endParaRPr lang="en-US" sz="2800">
            <a:solidFill>
              <a:schemeClr val="bg1"/>
            </a:solidFill>
          </a:endParaRPr>
        </a:p>
      </xdr:txBody>
    </xdr:sp>
    <xdr:clientData/>
  </xdr:twoCellAnchor>
  <xdr:twoCellAnchor>
    <xdr:from>
      <xdr:col>3</xdr:col>
      <xdr:colOff>541020</xdr:colOff>
      <xdr:row>6</xdr:row>
      <xdr:rowOff>114300</xdr:rowOff>
    </xdr:from>
    <xdr:to>
      <xdr:col>6</xdr:col>
      <xdr:colOff>586740</xdr:colOff>
      <xdr:row>9</xdr:row>
      <xdr:rowOff>152400</xdr:rowOff>
    </xdr:to>
    <xdr:sp macro="" textlink="">
      <xdr:nvSpPr>
        <xdr:cNvPr id="11" name="TextBox 10">
          <a:extLst>
            <a:ext uri="{FF2B5EF4-FFF2-40B4-BE49-F238E27FC236}">
              <a16:creationId xmlns:a16="http://schemas.microsoft.com/office/drawing/2014/main" id="{41EE99F4-C228-4F2E-8DE8-905635CA9760}"/>
            </a:ext>
          </a:extLst>
        </xdr:cNvPr>
        <xdr:cNvSpPr txBox="1"/>
      </xdr:nvSpPr>
      <xdr:spPr>
        <a:xfrm>
          <a:off x="2552700" y="1165860"/>
          <a:ext cx="205740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 ATTRITION</a:t>
          </a:r>
          <a:endParaRPr lang="en-US" sz="1600" b="1" baseline="0">
            <a:solidFill>
              <a:schemeClr val="bg1"/>
            </a:solidFill>
          </a:endParaRPr>
        </a:p>
        <a:p>
          <a:pPr algn="ctr"/>
          <a:endParaRPr lang="en-US" sz="1200" b="1">
            <a:solidFill>
              <a:schemeClr val="bg1"/>
            </a:solidFill>
          </a:endParaRPr>
        </a:p>
      </xdr:txBody>
    </xdr:sp>
    <xdr:clientData/>
  </xdr:twoCellAnchor>
  <xdr:twoCellAnchor>
    <xdr:from>
      <xdr:col>7</xdr:col>
      <xdr:colOff>121920</xdr:colOff>
      <xdr:row>6</xdr:row>
      <xdr:rowOff>64770</xdr:rowOff>
    </xdr:from>
    <xdr:to>
      <xdr:col>10</xdr:col>
      <xdr:colOff>403860</xdr:colOff>
      <xdr:row>11</xdr:row>
      <xdr:rowOff>95250</xdr:rowOff>
    </xdr:to>
    <xdr:sp macro="" textlink="PIVOT!$B$20">
      <xdr:nvSpPr>
        <xdr:cNvPr id="12" name="Rectangle: Rounded Corners 11">
          <a:extLst>
            <a:ext uri="{FF2B5EF4-FFF2-40B4-BE49-F238E27FC236}">
              <a16:creationId xmlns:a16="http://schemas.microsoft.com/office/drawing/2014/main" id="{63F7FC84-1B61-4D6E-ABE1-C78CE013B9BF}"/>
            </a:ext>
          </a:extLst>
        </xdr:cNvPr>
        <xdr:cNvSpPr/>
      </xdr:nvSpPr>
      <xdr:spPr>
        <a:xfrm>
          <a:off x="4815840" y="1116330"/>
          <a:ext cx="2293620" cy="90678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AE86A04-53B9-40DC-AACA-66160772CC1C}" type="TxLink">
            <a:rPr lang="en-US" sz="2800" b="0" i="0" u="none" strike="noStrike">
              <a:solidFill>
                <a:schemeClr val="bg1"/>
              </a:solidFill>
              <a:latin typeface="Aptos Narrow"/>
            </a:rPr>
            <a:t>20</a:t>
          </a:fld>
          <a:endParaRPr lang="en-US" sz="6000" b="0">
            <a:solidFill>
              <a:schemeClr val="bg1"/>
            </a:solidFill>
          </a:endParaRPr>
        </a:p>
      </xdr:txBody>
    </xdr:sp>
    <xdr:clientData/>
  </xdr:twoCellAnchor>
  <xdr:twoCellAnchor>
    <xdr:from>
      <xdr:col>7</xdr:col>
      <xdr:colOff>182880</xdr:colOff>
      <xdr:row>6</xdr:row>
      <xdr:rowOff>129540</xdr:rowOff>
    </xdr:from>
    <xdr:to>
      <xdr:col>10</xdr:col>
      <xdr:colOff>228600</xdr:colOff>
      <xdr:row>9</xdr:row>
      <xdr:rowOff>167640</xdr:rowOff>
    </xdr:to>
    <xdr:sp macro="" textlink="">
      <xdr:nvSpPr>
        <xdr:cNvPr id="13" name="TextBox 12">
          <a:extLst>
            <a:ext uri="{FF2B5EF4-FFF2-40B4-BE49-F238E27FC236}">
              <a16:creationId xmlns:a16="http://schemas.microsoft.com/office/drawing/2014/main" id="{43C5E878-3204-45EE-A01D-E08EA3D4E100}"/>
            </a:ext>
          </a:extLst>
        </xdr:cNvPr>
        <xdr:cNvSpPr txBox="1"/>
      </xdr:nvSpPr>
      <xdr:spPr>
        <a:xfrm>
          <a:off x="4876800" y="1181100"/>
          <a:ext cx="205740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ACTIVE EMPLOYEES</a:t>
          </a:r>
          <a:endParaRPr lang="en-US" sz="1600" b="1" baseline="0">
            <a:solidFill>
              <a:schemeClr val="bg1"/>
            </a:solidFill>
          </a:endParaRPr>
        </a:p>
        <a:p>
          <a:pPr algn="ctr"/>
          <a:endParaRPr lang="en-US" sz="1200" b="1">
            <a:solidFill>
              <a:schemeClr val="bg1"/>
            </a:solidFill>
          </a:endParaRPr>
        </a:p>
      </xdr:txBody>
    </xdr:sp>
    <xdr:clientData/>
  </xdr:twoCellAnchor>
  <xdr:twoCellAnchor>
    <xdr:from>
      <xdr:col>10</xdr:col>
      <xdr:colOff>434340</xdr:colOff>
      <xdr:row>6</xdr:row>
      <xdr:rowOff>64770</xdr:rowOff>
    </xdr:from>
    <xdr:to>
      <xdr:col>13</xdr:col>
      <xdr:colOff>640080</xdr:colOff>
      <xdr:row>11</xdr:row>
      <xdr:rowOff>95250</xdr:rowOff>
    </xdr:to>
    <xdr:sp macro="" textlink="PIVOT!$B$21">
      <xdr:nvSpPr>
        <xdr:cNvPr id="14" name="Rectangle: Rounded Corners 13">
          <a:extLst>
            <a:ext uri="{FF2B5EF4-FFF2-40B4-BE49-F238E27FC236}">
              <a16:creationId xmlns:a16="http://schemas.microsoft.com/office/drawing/2014/main" id="{9A8D7C43-5ED3-4BB7-8E20-E136C4F8169A}"/>
            </a:ext>
          </a:extLst>
        </xdr:cNvPr>
        <xdr:cNvSpPr/>
      </xdr:nvSpPr>
      <xdr:spPr>
        <a:xfrm>
          <a:off x="7139940" y="1116330"/>
          <a:ext cx="2217420" cy="90678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D121D28-2159-402F-B42F-ABBF4327E08A}" type="TxLink">
            <a:rPr lang="en-US" sz="2800" b="0" i="0" u="none" strike="noStrike">
              <a:solidFill>
                <a:schemeClr val="bg1"/>
              </a:solidFill>
              <a:latin typeface="Aptos Narrow"/>
            </a:rPr>
            <a:t>50%</a:t>
          </a:fld>
          <a:endParaRPr lang="en-US" sz="6000">
            <a:solidFill>
              <a:schemeClr val="bg1"/>
            </a:solidFill>
          </a:endParaRPr>
        </a:p>
      </xdr:txBody>
    </xdr:sp>
    <xdr:clientData/>
  </xdr:twoCellAnchor>
  <xdr:twoCellAnchor>
    <xdr:from>
      <xdr:col>10</xdr:col>
      <xdr:colOff>510540</xdr:colOff>
      <xdr:row>6</xdr:row>
      <xdr:rowOff>38100</xdr:rowOff>
    </xdr:from>
    <xdr:to>
      <xdr:col>13</xdr:col>
      <xdr:colOff>556260</xdr:colOff>
      <xdr:row>9</xdr:row>
      <xdr:rowOff>76200</xdr:rowOff>
    </xdr:to>
    <xdr:sp macro="" textlink="">
      <xdr:nvSpPr>
        <xdr:cNvPr id="15" name="TextBox 14">
          <a:extLst>
            <a:ext uri="{FF2B5EF4-FFF2-40B4-BE49-F238E27FC236}">
              <a16:creationId xmlns:a16="http://schemas.microsoft.com/office/drawing/2014/main" id="{E1A7C439-86AB-46A4-B3F6-3F3D027AB5FB}"/>
            </a:ext>
          </a:extLst>
        </xdr:cNvPr>
        <xdr:cNvSpPr txBox="1"/>
      </xdr:nvSpPr>
      <xdr:spPr>
        <a:xfrm>
          <a:off x="7216140" y="1089660"/>
          <a:ext cx="205740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chemeClr val="bg1"/>
              </a:solidFill>
            </a:rPr>
            <a:t>ATTRITION RATE</a:t>
          </a:r>
        </a:p>
      </xdr:txBody>
    </xdr:sp>
    <xdr:clientData/>
  </xdr:twoCellAnchor>
  <xdr:twoCellAnchor>
    <xdr:from>
      <xdr:col>14</xdr:col>
      <xdr:colOff>0</xdr:colOff>
      <xdr:row>6</xdr:row>
      <xdr:rowOff>64770</xdr:rowOff>
    </xdr:from>
    <xdr:to>
      <xdr:col>17</xdr:col>
      <xdr:colOff>541020</xdr:colOff>
      <xdr:row>11</xdr:row>
      <xdr:rowOff>95250</xdr:rowOff>
    </xdr:to>
    <xdr:sp macro="" textlink="PIVOT!$E$13">
      <xdr:nvSpPr>
        <xdr:cNvPr id="16" name="Rectangle: Rounded Corners 15">
          <a:extLst>
            <a:ext uri="{FF2B5EF4-FFF2-40B4-BE49-F238E27FC236}">
              <a16:creationId xmlns:a16="http://schemas.microsoft.com/office/drawing/2014/main" id="{6C47617F-C033-4708-8C07-A1242995FF27}"/>
            </a:ext>
          </a:extLst>
        </xdr:cNvPr>
        <xdr:cNvSpPr/>
      </xdr:nvSpPr>
      <xdr:spPr>
        <a:xfrm>
          <a:off x="9387840" y="1116330"/>
          <a:ext cx="2552700" cy="90678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4D886D4-531D-429E-88F4-46F12C47DB61}" type="TxLink">
            <a:rPr lang="en-US" sz="2800" b="0" i="0" u="none" strike="noStrike">
              <a:solidFill>
                <a:schemeClr val="bg1"/>
              </a:solidFill>
              <a:latin typeface="Aptos Narrow"/>
            </a:rPr>
            <a:t>35</a:t>
          </a:fld>
          <a:endParaRPr lang="en-US" sz="102800">
            <a:solidFill>
              <a:schemeClr val="bg1"/>
            </a:solidFill>
          </a:endParaRPr>
        </a:p>
      </xdr:txBody>
    </xdr:sp>
    <xdr:clientData/>
  </xdr:twoCellAnchor>
  <xdr:twoCellAnchor>
    <xdr:from>
      <xdr:col>13</xdr:col>
      <xdr:colOff>647700</xdr:colOff>
      <xdr:row>6</xdr:row>
      <xdr:rowOff>38100</xdr:rowOff>
    </xdr:from>
    <xdr:to>
      <xdr:col>17</xdr:col>
      <xdr:colOff>556260</xdr:colOff>
      <xdr:row>9</xdr:row>
      <xdr:rowOff>76200</xdr:rowOff>
    </xdr:to>
    <xdr:sp macro="" textlink="">
      <xdr:nvSpPr>
        <xdr:cNvPr id="17" name="TextBox 16">
          <a:extLst>
            <a:ext uri="{FF2B5EF4-FFF2-40B4-BE49-F238E27FC236}">
              <a16:creationId xmlns:a16="http://schemas.microsoft.com/office/drawing/2014/main" id="{7ADC21BA-652E-49F9-A897-2685BE32F3DB}"/>
            </a:ext>
          </a:extLst>
        </xdr:cNvPr>
        <xdr:cNvSpPr txBox="1"/>
      </xdr:nvSpPr>
      <xdr:spPr>
        <a:xfrm>
          <a:off x="9364980" y="1089660"/>
          <a:ext cx="259080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AVERAGE</a:t>
          </a:r>
          <a:r>
            <a:rPr lang="en-US" sz="1600" b="1" baseline="0">
              <a:solidFill>
                <a:schemeClr val="bg1"/>
              </a:solidFill>
            </a:rPr>
            <a:t> AGE</a:t>
          </a:r>
          <a:endParaRPr lang="en-US" sz="1600" b="1">
            <a:solidFill>
              <a:schemeClr val="bg1"/>
            </a:solidFill>
          </a:endParaRPr>
        </a:p>
      </xdr:txBody>
    </xdr:sp>
    <xdr:clientData/>
  </xdr:twoCellAnchor>
  <xdr:twoCellAnchor editAs="oneCell">
    <xdr:from>
      <xdr:col>20</xdr:col>
      <xdr:colOff>15641</xdr:colOff>
      <xdr:row>0</xdr:row>
      <xdr:rowOff>99059</xdr:rowOff>
    </xdr:from>
    <xdr:to>
      <xdr:col>21</xdr:col>
      <xdr:colOff>61361</xdr:colOff>
      <xdr:row>4</xdr:row>
      <xdr:rowOff>114299</xdr:rowOff>
    </xdr:to>
    <xdr:pic>
      <xdr:nvPicPr>
        <xdr:cNvPr id="19" name="Graphic 18" descr="Star with solid fill">
          <a:extLst>
            <a:ext uri="{FF2B5EF4-FFF2-40B4-BE49-F238E27FC236}">
              <a16:creationId xmlns:a16="http://schemas.microsoft.com/office/drawing/2014/main" id="{E974B844-E625-3FAA-7C25-2DD0406B4B0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50904" y="99059"/>
          <a:ext cx="717483" cy="697029"/>
        </a:xfrm>
        <a:prstGeom prst="rect">
          <a:avLst/>
        </a:prstGeom>
      </xdr:spPr>
    </xdr:pic>
    <xdr:clientData/>
  </xdr:twoCellAnchor>
  <xdr:twoCellAnchor editAs="oneCell">
    <xdr:from>
      <xdr:col>20</xdr:col>
      <xdr:colOff>664544</xdr:colOff>
      <xdr:row>0</xdr:row>
      <xdr:rowOff>99059</xdr:rowOff>
    </xdr:from>
    <xdr:to>
      <xdr:col>22</xdr:col>
      <xdr:colOff>38501</xdr:colOff>
      <xdr:row>4</xdr:row>
      <xdr:rowOff>114299</xdr:rowOff>
    </xdr:to>
    <xdr:pic>
      <xdr:nvPicPr>
        <xdr:cNvPr id="20" name="Graphic 19" descr="Star with solid fill">
          <a:extLst>
            <a:ext uri="{FF2B5EF4-FFF2-40B4-BE49-F238E27FC236}">
              <a16:creationId xmlns:a16="http://schemas.microsoft.com/office/drawing/2014/main" id="{3D80A7DF-62C7-4227-A216-65D59625B1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99807" y="99059"/>
          <a:ext cx="717483" cy="697029"/>
        </a:xfrm>
        <a:prstGeom prst="rect">
          <a:avLst/>
        </a:prstGeom>
      </xdr:spPr>
    </xdr:pic>
    <xdr:clientData/>
  </xdr:twoCellAnchor>
  <xdr:twoCellAnchor editAs="oneCell">
    <xdr:from>
      <xdr:col>23</xdr:col>
      <xdr:colOff>603584</xdr:colOff>
      <xdr:row>0</xdr:row>
      <xdr:rowOff>99059</xdr:rowOff>
    </xdr:from>
    <xdr:to>
      <xdr:col>24</xdr:col>
      <xdr:colOff>641684</xdr:colOff>
      <xdr:row>4</xdr:row>
      <xdr:rowOff>106679</xdr:rowOff>
    </xdr:to>
    <xdr:pic>
      <xdr:nvPicPr>
        <xdr:cNvPr id="21" name="Graphic 20" descr="Star with solid fill">
          <a:extLst>
            <a:ext uri="{FF2B5EF4-FFF2-40B4-BE49-F238E27FC236}">
              <a16:creationId xmlns:a16="http://schemas.microsoft.com/office/drawing/2014/main" id="{635ED787-6FCF-432F-A1F8-A230C08EA7E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054137" y="99059"/>
          <a:ext cx="709863" cy="689409"/>
        </a:xfrm>
        <a:prstGeom prst="rect">
          <a:avLst/>
        </a:prstGeom>
      </xdr:spPr>
    </xdr:pic>
    <xdr:clientData/>
  </xdr:twoCellAnchor>
  <xdr:twoCellAnchor editAs="oneCell">
    <xdr:from>
      <xdr:col>21</xdr:col>
      <xdr:colOff>649304</xdr:colOff>
      <xdr:row>0</xdr:row>
      <xdr:rowOff>121919</xdr:rowOff>
    </xdr:from>
    <xdr:to>
      <xdr:col>22</xdr:col>
      <xdr:colOff>664544</xdr:colOff>
      <xdr:row>4</xdr:row>
      <xdr:rowOff>106679</xdr:rowOff>
    </xdr:to>
    <xdr:pic>
      <xdr:nvPicPr>
        <xdr:cNvPr id="22" name="Graphic 21" descr="Star with solid fill">
          <a:extLst>
            <a:ext uri="{FF2B5EF4-FFF2-40B4-BE49-F238E27FC236}">
              <a16:creationId xmlns:a16="http://schemas.microsoft.com/office/drawing/2014/main" id="{0A16837B-6E64-4F85-A43F-4A0F9E57B8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756330" y="121919"/>
          <a:ext cx="687003" cy="666549"/>
        </a:xfrm>
        <a:prstGeom prst="rect">
          <a:avLst/>
        </a:prstGeom>
      </xdr:spPr>
    </xdr:pic>
    <xdr:clientData/>
  </xdr:twoCellAnchor>
  <xdr:twoCellAnchor editAs="oneCell">
    <xdr:from>
      <xdr:col>22</xdr:col>
      <xdr:colOff>603584</xdr:colOff>
      <xdr:row>0</xdr:row>
      <xdr:rowOff>99059</xdr:rowOff>
    </xdr:from>
    <xdr:to>
      <xdr:col>23</xdr:col>
      <xdr:colOff>656924</xdr:colOff>
      <xdr:row>4</xdr:row>
      <xdr:rowOff>121919</xdr:rowOff>
    </xdr:to>
    <xdr:pic>
      <xdr:nvPicPr>
        <xdr:cNvPr id="23" name="Graphic 22" descr="Star with solid fill">
          <a:extLst>
            <a:ext uri="{FF2B5EF4-FFF2-40B4-BE49-F238E27FC236}">
              <a16:creationId xmlns:a16="http://schemas.microsoft.com/office/drawing/2014/main" id="{A5D151EA-F777-4CF4-B211-0DD06A18F2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382373" y="99059"/>
          <a:ext cx="725104" cy="704649"/>
        </a:xfrm>
        <a:prstGeom prst="rect">
          <a:avLst/>
        </a:prstGeom>
      </xdr:spPr>
    </xdr:pic>
    <xdr:clientData/>
  </xdr:twoCellAnchor>
  <xdr:twoCellAnchor>
    <xdr:from>
      <xdr:col>11</xdr:col>
      <xdr:colOff>495300</xdr:colOff>
      <xdr:row>26</xdr:row>
      <xdr:rowOff>106680</xdr:rowOff>
    </xdr:from>
    <xdr:to>
      <xdr:col>17</xdr:col>
      <xdr:colOff>548640</xdr:colOff>
      <xdr:row>39</xdr:row>
      <xdr:rowOff>22860</xdr:rowOff>
    </xdr:to>
    <xdr:graphicFrame macro="">
      <xdr:nvGraphicFramePr>
        <xdr:cNvPr id="24" name="Chart 23">
          <a:extLst>
            <a:ext uri="{FF2B5EF4-FFF2-40B4-BE49-F238E27FC236}">
              <a16:creationId xmlns:a16="http://schemas.microsoft.com/office/drawing/2014/main" id="{57AB6C64-89C8-409F-A5B9-71C8996E9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228600</xdr:colOff>
      <xdr:row>12</xdr:row>
      <xdr:rowOff>137160</xdr:rowOff>
    </xdr:from>
    <xdr:to>
      <xdr:col>12</xdr:col>
      <xdr:colOff>137160</xdr:colOff>
      <xdr:row>26</xdr:row>
      <xdr:rowOff>45720</xdr:rowOff>
    </xdr:to>
    <xdr:graphicFrame macro="">
      <xdr:nvGraphicFramePr>
        <xdr:cNvPr id="25" name="Chart 24">
          <a:extLst>
            <a:ext uri="{FF2B5EF4-FFF2-40B4-BE49-F238E27FC236}">
              <a16:creationId xmlns:a16="http://schemas.microsoft.com/office/drawing/2014/main" id="{FE85F275-1A50-46F1-AD68-EED0CCA31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228600</xdr:colOff>
      <xdr:row>26</xdr:row>
      <xdr:rowOff>121920</xdr:rowOff>
    </xdr:from>
    <xdr:to>
      <xdr:col>11</xdr:col>
      <xdr:colOff>426720</xdr:colOff>
      <xdr:row>39</xdr:row>
      <xdr:rowOff>7620</xdr:rowOff>
    </xdr:to>
    <xdr:graphicFrame macro="">
      <xdr:nvGraphicFramePr>
        <xdr:cNvPr id="26" name="Chart 25">
          <a:extLst>
            <a:ext uri="{FF2B5EF4-FFF2-40B4-BE49-F238E27FC236}">
              <a16:creationId xmlns:a16="http://schemas.microsoft.com/office/drawing/2014/main" id="{23D9F8BF-78AC-4058-BE06-B4A7F583B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213360</xdr:colOff>
      <xdr:row>12</xdr:row>
      <xdr:rowOff>129540</xdr:rowOff>
    </xdr:from>
    <xdr:to>
      <xdr:col>5</xdr:col>
      <xdr:colOff>160020</xdr:colOff>
      <xdr:row>26</xdr:row>
      <xdr:rowOff>30480</xdr:rowOff>
    </xdr:to>
    <xdr:graphicFrame macro="">
      <xdr:nvGraphicFramePr>
        <xdr:cNvPr id="27" name="Chart 26">
          <a:extLst>
            <a:ext uri="{FF2B5EF4-FFF2-40B4-BE49-F238E27FC236}">
              <a16:creationId xmlns:a16="http://schemas.microsoft.com/office/drawing/2014/main" id="{7CB9033C-C4C9-40F8-A31D-42C1B9E55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205740</xdr:colOff>
      <xdr:row>12</xdr:row>
      <xdr:rowOff>137160</xdr:rowOff>
    </xdr:from>
    <xdr:to>
      <xdr:col>17</xdr:col>
      <xdr:colOff>533400</xdr:colOff>
      <xdr:row>26</xdr:row>
      <xdr:rowOff>60960</xdr:rowOff>
    </xdr:to>
    <xdr:graphicFrame macro="">
      <xdr:nvGraphicFramePr>
        <xdr:cNvPr id="28" name="Chart 27">
          <a:extLst>
            <a:ext uri="{FF2B5EF4-FFF2-40B4-BE49-F238E27FC236}">
              <a16:creationId xmlns:a16="http://schemas.microsoft.com/office/drawing/2014/main" id="{CA8F058C-721A-46D9-8726-7C933EDCE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205740</xdr:colOff>
      <xdr:row>26</xdr:row>
      <xdr:rowOff>118110</xdr:rowOff>
    </xdr:from>
    <xdr:to>
      <xdr:col>5</xdr:col>
      <xdr:colOff>182880</xdr:colOff>
      <xdr:row>39</xdr:row>
      <xdr:rowOff>11430</xdr:rowOff>
    </xdr:to>
    <xdr:graphicFrame macro="">
      <xdr:nvGraphicFramePr>
        <xdr:cNvPr id="29" name="Chart 28">
          <a:extLst>
            <a:ext uri="{FF2B5EF4-FFF2-40B4-BE49-F238E27FC236}">
              <a16:creationId xmlns:a16="http://schemas.microsoft.com/office/drawing/2014/main" id="{96F50281-8D4A-4965-9168-9A5275677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17</xdr:col>
      <xdr:colOff>617220</xdr:colOff>
      <xdr:row>6</xdr:row>
      <xdr:rowOff>70184</xdr:rowOff>
    </xdr:from>
    <xdr:to>
      <xdr:col>20</xdr:col>
      <xdr:colOff>70184</xdr:colOff>
      <xdr:row>17</xdr:row>
      <xdr:rowOff>0</xdr:rowOff>
    </xdr:to>
    <mc:AlternateContent xmlns:mc="http://schemas.openxmlformats.org/markup-compatibility/2006">
      <mc:Choice xmlns:a14="http://schemas.microsoft.com/office/drawing/2010/main" Requires="a14">
        <xdr:graphicFrame macro="">
          <xdr:nvGraphicFramePr>
            <xdr:cNvPr id="30" name="Gender">
              <a:extLst>
                <a:ext uri="{FF2B5EF4-FFF2-40B4-BE49-F238E27FC236}">
                  <a16:creationId xmlns:a16="http://schemas.microsoft.com/office/drawing/2014/main" id="{5B08F2E4-257E-3657-E15B-BAC0CB30E4E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047220" y="1145949"/>
              <a:ext cx="1470023" cy="1902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640080</xdr:colOff>
      <xdr:row>28</xdr:row>
      <xdr:rowOff>60960</xdr:rowOff>
    </xdr:from>
    <xdr:to>
      <xdr:col>20</xdr:col>
      <xdr:colOff>50132</xdr:colOff>
      <xdr:row>39</xdr:row>
      <xdr:rowOff>30480</xdr:rowOff>
    </xdr:to>
    <mc:AlternateContent xmlns:mc="http://schemas.openxmlformats.org/markup-compatibility/2006">
      <mc:Choice xmlns:a14="http://schemas.microsoft.com/office/drawing/2010/main" Requires="a14">
        <xdr:graphicFrame macro="">
          <xdr:nvGraphicFramePr>
            <xdr:cNvPr id="31" name="Department">
              <a:extLst>
                <a:ext uri="{FF2B5EF4-FFF2-40B4-BE49-F238E27FC236}">
                  <a16:creationId xmlns:a16="http://schemas.microsoft.com/office/drawing/2014/main" id="{CB4978F6-A2BD-A4C0-40C9-9C58EC1150D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070080" y="5081195"/>
              <a:ext cx="1427111" cy="19417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624840</xdr:colOff>
      <xdr:row>17</xdr:row>
      <xdr:rowOff>60960</xdr:rowOff>
    </xdr:from>
    <xdr:to>
      <xdr:col>20</xdr:col>
      <xdr:colOff>50132</xdr:colOff>
      <xdr:row>27</xdr:row>
      <xdr:rowOff>163195</xdr:rowOff>
    </xdr:to>
    <mc:AlternateContent xmlns:mc="http://schemas.openxmlformats.org/markup-compatibility/2006">
      <mc:Choice xmlns:a14="http://schemas.microsoft.com/office/drawing/2010/main" Requires="a14">
        <xdr:graphicFrame macro="">
          <xdr:nvGraphicFramePr>
            <xdr:cNvPr id="32" name="MaritalStatus">
              <a:extLst>
                <a:ext uri="{FF2B5EF4-FFF2-40B4-BE49-F238E27FC236}">
                  <a16:creationId xmlns:a16="http://schemas.microsoft.com/office/drawing/2014/main" id="{427E7E9B-75C0-BDC6-6855-FBFEAEA963FA}"/>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12054840" y="3108960"/>
              <a:ext cx="1442351" cy="1895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250068</xdr:colOff>
      <xdr:row>29</xdr:row>
      <xdr:rowOff>48362</xdr:rowOff>
    </xdr:from>
    <xdr:to>
      <xdr:col>25</xdr:col>
      <xdr:colOff>280147</xdr:colOff>
      <xdr:row>39</xdr:row>
      <xdr:rowOff>38335</xdr:rowOff>
    </xdr:to>
    <xdr:sp macro="" textlink="PIVOT!$H$14">
      <xdr:nvSpPr>
        <xdr:cNvPr id="34" name="Rectangle: Rounded Corners 33">
          <a:extLst>
            <a:ext uri="{FF2B5EF4-FFF2-40B4-BE49-F238E27FC236}">
              <a16:creationId xmlns:a16="http://schemas.microsoft.com/office/drawing/2014/main" id="{7E714884-699E-C77E-C3CA-9FDF3B4793B0}"/>
            </a:ext>
          </a:extLst>
        </xdr:cNvPr>
        <xdr:cNvSpPr/>
      </xdr:nvSpPr>
      <xdr:spPr>
        <a:xfrm>
          <a:off x="13697127" y="5247891"/>
          <a:ext cx="3391844" cy="1782915"/>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bg1"/>
              </a:solidFill>
              <a:latin typeface="Aptos Narrow"/>
            </a:rPr>
            <a:t>DYNAMIC INSIGHT</a:t>
          </a:r>
        </a:p>
        <a:p>
          <a:pPr algn="ctr"/>
          <a:endParaRPr lang="en-US" sz="1600" b="0" i="0" u="none" strike="noStrike">
            <a:solidFill>
              <a:schemeClr val="bg1"/>
            </a:solidFill>
            <a:latin typeface="Aptos Narrow"/>
          </a:endParaRPr>
        </a:p>
        <a:p>
          <a:pPr algn="l"/>
          <a:fld id="{23D634DF-6D71-488A-82C3-CFBF17B63095}" type="TxLink">
            <a:rPr lang="en-US" sz="1600" b="0" i="0" u="none" strike="noStrike">
              <a:solidFill>
                <a:schemeClr val="bg1"/>
              </a:solidFill>
              <a:latin typeface="Aptos Narrow"/>
            </a:rPr>
            <a:t>CURRENT STATUS: The average age of leavers is 35 years. The highest risk is currently in the High Attrition zone.</a:t>
          </a:fld>
          <a:endParaRPr lang="en-US" sz="3200" b="1">
            <a:solidFill>
              <a:schemeClr val="bg1"/>
            </a:solidFill>
          </a:endParaRPr>
        </a:p>
      </xdr:txBody>
    </xdr:sp>
    <xdr:clientData/>
  </xdr:twoCellAnchor>
  <xdr:twoCellAnchor>
    <xdr:from>
      <xdr:col>20</xdr:col>
      <xdr:colOff>220580</xdr:colOff>
      <xdr:row>6</xdr:row>
      <xdr:rowOff>150396</xdr:rowOff>
    </xdr:from>
    <xdr:to>
      <xdr:col>25</xdr:col>
      <xdr:colOff>290764</xdr:colOff>
      <xdr:row>28</xdr:row>
      <xdr:rowOff>20054</xdr:rowOff>
    </xdr:to>
    <xdr:sp macro="" textlink="">
      <xdr:nvSpPr>
        <xdr:cNvPr id="33" name="Rectangle: Rounded Corners 32">
          <a:extLst>
            <a:ext uri="{FF2B5EF4-FFF2-40B4-BE49-F238E27FC236}">
              <a16:creationId xmlns:a16="http://schemas.microsoft.com/office/drawing/2014/main" id="{AF5479B0-A0AA-4E27-C216-D53D4E225F15}"/>
            </a:ext>
          </a:extLst>
        </xdr:cNvPr>
        <xdr:cNvSpPr/>
      </xdr:nvSpPr>
      <xdr:spPr>
        <a:xfrm>
          <a:off x="13655843" y="1173080"/>
          <a:ext cx="3429000" cy="361950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STATIC</a:t>
          </a:r>
          <a:r>
            <a:rPr lang="en-US" sz="1600" b="1" baseline="0"/>
            <a:t> </a:t>
          </a:r>
          <a:r>
            <a:rPr lang="en-US" sz="1600" b="1"/>
            <a:t>INSIGHTS</a:t>
          </a:r>
          <a:endParaRPr lang="en-US" sz="1400" b="0"/>
        </a:p>
        <a:p>
          <a:r>
            <a:rPr lang="en-US" sz="1400" b="0"/>
            <a:t>⚠️ Critical Risk: High attrition in the 30–44 Age Band and Sales Department indicates a need for urgent intervention in mid-career retention.</a:t>
          </a:r>
        </a:p>
        <a:p>
          <a:endParaRPr lang="en-US"/>
        </a:p>
        <a:p>
          <a:r>
            <a:rPr lang="en-US" sz="1400" b="1"/>
            <a:t>💰 Compensation Gap:</a:t>
          </a:r>
          <a:r>
            <a:rPr lang="en-US" sz="1400"/>
            <a:t> The </a:t>
          </a:r>
          <a:r>
            <a:rPr lang="en-US" sz="1400" b="1"/>
            <a:t>Medium Salary Band</a:t>
          </a:r>
          <a:r>
            <a:rPr lang="en-US" sz="1400"/>
            <a:t> shows the highest churn across all departments, suggesting our mid-level pay is not market-competitive.</a:t>
          </a:r>
        </a:p>
        <a:p>
          <a:endParaRPr lang="en-US"/>
        </a:p>
        <a:p>
          <a:r>
            <a:rPr lang="en-US" sz="1400" b="1"/>
            <a:t>🎓 Role Mismatch:</a:t>
          </a:r>
          <a:r>
            <a:rPr lang="en-US" sz="1400"/>
            <a:t> 100% of leavers in Sales have a </a:t>
          </a:r>
          <a:r>
            <a:rPr lang="en-US" sz="1400" b="1"/>
            <a:t>Marketing background</a:t>
          </a:r>
          <a:r>
            <a:rPr lang="en-US" sz="1400"/>
            <a:t>, pointing to a disconnect between academic training and job expectations.</a:t>
          </a:r>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ta " refreshedDate="46144.992380902775" createdVersion="6" refreshedVersion="8" minRefreshableVersion="3" recordCount="40" xr:uid="{B00662B9-7806-48FE-8C9D-A4BBADE15925}">
  <cacheSource type="worksheet">
    <worksheetSource name="Attrition_table"/>
  </cacheSource>
  <cacheFields count="16">
    <cacheField name="EmployeeID" numFmtId="1">
      <sharedItems containsSemiMixedTypes="0" containsString="0" containsNumber="1" containsInteger="1" minValue="1" maxValue="40" count="40">
        <n v="1"/>
        <n v="2"/>
        <n v="3"/>
        <n v="4"/>
        <n v="5"/>
        <n v="6"/>
        <n v="7"/>
        <n v="8"/>
        <n v="9"/>
        <n v="10"/>
        <n v="11"/>
        <n v="12"/>
        <n v="13"/>
        <n v="14"/>
        <n v="15"/>
        <n v="16"/>
        <n v="17"/>
        <n v="18"/>
        <n v="19"/>
        <n v="20"/>
        <n v="21"/>
        <n v="22"/>
        <n v="23"/>
        <n v="24"/>
        <n v="25"/>
        <n v="26"/>
        <n v="27"/>
        <n v="28"/>
        <n v="29"/>
        <n v="30"/>
        <n v="31"/>
        <n v="32"/>
        <n v="33"/>
        <n v="34"/>
        <n v="35"/>
        <n v="36"/>
        <n v="37"/>
        <n v="38"/>
        <n v="39"/>
        <n v="40"/>
      </sharedItems>
    </cacheField>
    <cacheField name="Name" numFmtId="0">
      <sharedItems/>
    </cacheField>
    <cacheField name="Gender" numFmtId="0">
      <sharedItems count="2">
        <s v="Male"/>
        <s v="Female"/>
      </sharedItems>
    </cacheField>
    <cacheField name="Age" numFmtId="1">
      <sharedItems containsSemiMixedTypes="0" containsString="0" containsNumber="1" containsInteger="1" minValue="26" maxValue="50" count="22">
        <n v="34"/>
        <n v="29"/>
        <n v="41"/>
        <n v="36"/>
        <n v="45"/>
        <n v="31"/>
        <n v="28"/>
        <n v="38"/>
        <n v="50"/>
        <n v="27"/>
        <n v="33"/>
        <n v="44"/>
        <n v="30"/>
        <n v="26"/>
        <n v="39"/>
        <n v="35"/>
        <n v="32"/>
        <n v="46"/>
        <n v="37"/>
        <n v="42"/>
        <n v="40"/>
        <n v="48"/>
      </sharedItems>
    </cacheField>
    <cacheField name="Department" numFmtId="0">
      <sharedItems count="3">
        <s v="Sales"/>
        <s v="R&amp;D"/>
        <s v="HR"/>
      </sharedItems>
    </cacheField>
    <cacheField name="JobRole" numFmtId="0">
      <sharedItems count="6">
        <s v="Sales Executive"/>
        <s v="Research Scientist"/>
        <s v="HR Manager"/>
        <s v="Sales Representative"/>
        <s v="Lab Technician"/>
        <s v="HR Executive"/>
      </sharedItems>
    </cacheField>
    <cacheField name="Education" numFmtId="0">
      <sharedItems/>
    </cacheField>
    <cacheField name="EducationField" numFmtId="0">
      <sharedItems count="4">
        <s v="Marketing"/>
        <s v="Life Sciences"/>
        <s v="Human Resources"/>
        <s v="Technical"/>
      </sharedItems>
    </cacheField>
    <cacheField name="MaritalStatus" numFmtId="0">
      <sharedItems count="3">
        <s v="Married"/>
        <s v="Single"/>
        <s v="Divorced"/>
      </sharedItems>
    </cacheField>
    <cacheField name="Salary" numFmtId="164">
      <sharedItems containsSemiMixedTypes="0" containsString="0" containsNumber="1" containsInteger="1" minValue="46000" maxValue="92000"/>
    </cacheField>
    <cacheField name="JobSatisfaction" numFmtId="1">
      <sharedItems containsSemiMixedTypes="0" containsString="0" containsNumber="1" containsInteger="1" minValue="2" maxValue="4"/>
    </cacheField>
    <cacheField name="Attrition" numFmtId="0">
      <sharedItems count="2">
        <s v="Yes"/>
        <s v="No"/>
      </sharedItems>
    </cacheField>
    <cacheField name="Attrition Flag" numFmtId="0">
      <sharedItems containsSemiMixedTypes="0" containsString="0" containsNumber="1" containsInteger="1" minValue="0" maxValue="1" count="2">
        <n v="1"/>
        <n v="0"/>
      </sharedItems>
    </cacheField>
    <cacheField name="Age-Band" numFmtId="0">
      <sharedItems count="4">
        <s v="30-44"/>
        <s v="Under 30"/>
        <s v="45-50"/>
        <s v="50+"/>
      </sharedItems>
    </cacheField>
    <cacheField name="Salary Band" numFmtId="0">
      <sharedItems count="3">
        <s v="Medium Salary"/>
        <s v="High Salary"/>
        <s v="Low Salary"/>
      </sharedItems>
    </cacheField>
    <cacheField name="Satisfaction Level" numFmtId="0">
      <sharedItems/>
    </cacheField>
  </cacheFields>
  <extLst>
    <ext xmlns:x14="http://schemas.microsoft.com/office/spreadsheetml/2009/9/main" uri="{725AE2AE-9491-48be-B2B4-4EB974FC3084}">
      <x14:pivotCacheDefinition pivotCacheId="711373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s v="Michael Johnson"/>
    <x v="0"/>
    <x v="0"/>
    <x v="0"/>
    <x v="0"/>
    <s v="Bachelor"/>
    <x v="0"/>
    <x v="0"/>
    <n v="60000"/>
    <n v="3"/>
    <x v="0"/>
    <x v="0"/>
    <x v="0"/>
    <x v="0"/>
    <s v="Medium"/>
  </r>
  <r>
    <x v="1"/>
    <s v="Emily Carter"/>
    <x v="1"/>
    <x v="1"/>
    <x v="1"/>
    <x v="1"/>
    <s v="Master"/>
    <x v="1"/>
    <x v="1"/>
    <n v="72000"/>
    <n v="4"/>
    <x v="1"/>
    <x v="1"/>
    <x v="1"/>
    <x v="1"/>
    <s v="High"/>
  </r>
  <r>
    <x v="2"/>
    <s v="David Miller"/>
    <x v="0"/>
    <x v="2"/>
    <x v="2"/>
    <x v="2"/>
    <s v="Master"/>
    <x v="2"/>
    <x v="0"/>
    <n v="68000"/>
    <n v="2"/>
    <x v="0"/>
    <x v="0"/>
    <x v="0"/>
    <x v="0"/>
    <s v="Low"/>
  </r>
  <r>
    <x v="3"/>
    <s v="Sarah Thompson"/>
    <x v="1"/>
    <x v="3"/>
    <x v="0"/>
    <x v="3"/>
    <s v="Bachelor"/>
    <x v="0"/>
    <x v="2"/>
    <n v="52000"/>
    <n v="3"/>
    <x v="1"/>
    <x v="1"/>
    <x v="0"/>
    <x v="0"/>
    <s v="Medium"/>
  </r>
  <r>
    <x v="4"/>
    <s v="James Anderson"/>
    <x v="0"/>
    <x v="4"/>
    <x v="1"/>
    <x v="4"/>
    <s v="Associate"/>
    <x v="3"/>
    <x v="0"/>
    <n v="48000"/>
    <n v="2"/>
    <x v="0"/>
    <x v="0"/>
    <x v="2"/>
    <x v="2"/>
    <s v="Low"/>
  </r>
  <r>
    <x v="5"/>
    <s v="Olivia Martinez"/>
    <x v="1"/>
    <x v="5"/>
    <x v="2"/>
    <x v="5"/>
    <s v="Bachelor"/>
    <x v="2"/>
    <x v="1"/>
    <n v="55000"/>
    <n v="4"/>
    <x v="1"/>
    <x v="1"/>
    <x v="0"/>
    <x v="0"/>
    <s v="High"/>
  </r>
  <r>
    <x v="6"/>
    <s v="Daniel White"/>
    <x v="0"/>
    <x v="6"/>
    <x v="0"/>
    <x v="0"/>
    <s v="Bachelor"/>
    <x v="0"/>
    <x v="1"/>
    <n v="58000"/>
    <n v="3"/>
    <x v="0"/>
    <x v="0"/>
    <x v="1"/>
    <x v="0"/>
    <s v="Medium"/>
  </r>
  <r>
    <x v="7"/>
    <s v="Sophia Harris"/>
    <x v="1"/>
    <x v="7"/>
    <x v="1"/>
    <x v="1"/>
    <s v="PhD"/>
    <x v="1"/>
    <x v="0"/>
    <n v="90000"/>
    <n v="4"/>
    <x v="1"/>
    <x v="1"/>
    <x v="0"/>
    <x v="1"/>
    <s v="High"/>
  </r>
  <r>
    <x v="8"/>
    <s v="Matthew Clark"/>
    <x v="0"/>
    <x v="8"/>
    <x v="2"/>
    <x v="2"/>
    <s v="Master"/>
    <x v="2"/>
    <x v="0"/>
    <n v="75000"/>
    <n v="2"/>
    <x v="0"/>
    <x v="0"/>
    <x v="3"/>
    <x v="1"/>
    <s v="Low"/>
  </r>
  <r>
    <x v="9"/>
    <s v="Ava Lewis"/>
    <x v="1"/>
    <x v="9"/>
    <x v="0"/>
    <x v="3"/>
    <s v="Bachelor"/>
    <x v="0"/>
    <x v="1"/>
    <n v="50000"/>
    <n v="3"/>
    <x v="1"/>
    <x v="1"/>
    <x v="1"/>
    <x v="0"/>
    <s v="Medium"/>
  </r>
  <r>
    <x v="10"/>
    <s v="Wei Zhang"/>
    <x v="0"/>
    <x v="10"/>
    <x v="1"/>
    <x v="1"/>
    <s v="Master"/>
    <x v="1"/>
    <x v="0"/>
    <n v="71000"/>
    <n v="3"/>
    <x v="0"/>
    <x v="0"/>
    <x v="0"/>
    <x v="1"/>
    <s v="Medium"/>
  </r>
  <r>
    <x v="11"/>
    <s v="Hiroshi Tanaka"/>
    <x v="0"/>
    <x v="11"/>
    <x v="1"/>
    <x v="4"/>
    <s v="Associate"/>
    <x v="3"/>
    <x v="0"/>
    <n v="47000"/>
    <n v="2"/>
    <x v="1"/>
    <x v="1"/>
    <x v="0"/>
    <x v="2"/>
    <s v="Low"/>
  </r>
  <r>
    <x v="12"/>
    <s v="Arjun Mehta"/>
    <x v="0"/>
    <x v="12"/>
    <x v="0"/>
    <x v="0"/>
    <s v="Bachelor"/>
    <x v="0"/>
    <x v="1"/>
    <n v="62000"/>
    <n v="4"/>
    <x v="1"/>
    <x v="1"/>
    <x v="0"/>
    <x v="0"/>
    <s v="High"/>
  </r>
  <r>
    <x v="13"/>
    <s v="Li Na"/>
    <x v="1"/>
    <x v="13"/>
    <x v="2"/>
    <x v="5"/>
    <s v="Bachelor"/>
    <x v="2"/>
    <x v="1"/>
    <n v="54000"/>
    <n v="3"/>
    <x v="0"/>
    <x v="0"/>
    <x v="1"/>
    <x v="0"/>
    <s v="Medium"/>
  </r>
  <r>
    <x v="14"/>
    <s v="Siti Rahman"/>
    <x v="1"/>
    <x v="14"/>
    <x v="0"/>
    <x v="0"/>
    <s v="Master"/>
    <x v="0"/>
    <x v="0"/>
    <n v="65000"/>
    <n v="2"/>
    <x v="0"/>
    <x v="0"/>
    <x v="0"/>
    <x v="0"/>
    <s v="Low"/>
  </r>
  <r>
    <x v="15"/>
    <s v="Nguyen Minh"/>
    <x v="0"/>
    <x v="15"/>
    <x v="1"/>
    <x v="1"/>
    <s v="Master"/>
    <x v="1"/>
    <x v="0"/>
    <n v="72000"/>
    <n v="4"/>
    <x v="1"/>
    <x v="1"/>
    <x v="0"/>
    <x v="1"/>
    <s v="High"/>
  </r>
  <r>
    <x v="16"/>
    <s v="Park Ji-hoon"/>
    <x v="0"/>
    <x v="16"/>
    <x v="0"/>
    <x v="3"/>
    <s v="Bachelor"/>
    <x v="0"/>
    <x v="1"/>
    <n v="51000"/>
    <n v="3"/>
    <x v="0"/>
    <x v="0"/>
    <x v="0"/>
    <x v="0"/>
    <s v="Medium"/>
  </r>
  <r>
    <x v="17"/>
    <s v="Chen Wei"/>
    <x v="0"/>
    <x v="1"/>
    <x v="1"/>
    <x v="4"/>
    <s v="Associate"/>
    <x v="3"/>
    <x v="1"/>
    <n v="46000"/>
    <n v="2"/>
    <x v="1"/>
    <x v="1"/>
    <x v="1"/>
    <x v="2"/>
    <s v="Low"/>
  </r>
  <r>
    <x v="18"/>
    <s v="Ananya Sharma"/>
    <x v="1"/>
    <x v="6"/>
    <x v="2"/>
    <x v="5"/>
    <s v="Bachelor"/>
    <x v="2"/>
    <x v="1"/>
    <n v="56000"/>
    <n v="4"/>
    <x v="1"/>
    <x v="1"/>
    <x v="1"/>
    <x v="0"/>
    <s v="High"/>
  </r>
  <r>
    <x v="19"/>
    <s v="Takeshi Sato"/>
    <x v="0"/>
    <x v="17"/>
    <x v="1"/>
    <x v="1"/>
    <s v="PhD"/>
    <x v="1"/>
    <x v="0"/>
    <n v="88000"/>
    <n v="3"/>
    <x v="0"/>
    <x v="0"/>
    <x v="2"/>
    <x v="1"/>
    <s v="Medium"/>
  </r>
  <r>
    <x v="20"/>
    <s v="Ahmed Khan"/>
    <x v="0"/>
    <x v="18"/>
    <x v="0"/>
    <x v="0"/>
    <s v="Bachelor"/>
    <x v="0"/>
    <x v="0"/>
    <n v="64000"/>
    <n v="2"/>
    <x v="0"/>
    <x v="0"/>
    <x v="0"/>
    <x v="0"/>
    <s v="Low"/>
  </r>
  <r>
    <x v="21"/>
    <s v="Fatima Noor"/>
    <x v="1"/>
    <x v="0"/>
    <x v="2"/>
    <x v="5"/>
    <s v="Bachelor"/>
    <x v="2"/>
    <x v="0"/>
    <n v="57000"/>
    <n v="3"/>
    <x v="1"/>
    <x v="1"/>
    <x v="0"/>
    <x v="0"/>
    <s v="Medium"/>
  </r>
  <r>
    <x v="22"/>
    <s v="Omar Hassan"/>
    <x v="0"/>
    <x v="19"/>
    <x v="1"/>
    <x v="4"/>
    <s v="Associate"/>
    <x v="3"/>
    <x v="0"/>
    <n v="49000"/>
    <n v="2"/>
    <x v="0"/>
    <x v="0"/>
    <x v="0"/>
    <x v="2"/>
    <s v="Low"/>
  </r>
  <r>
    <x v="23"/>
    <s v="Ayesha Siddiqui"/>
    <x v="1"/>
    <x v="5"/>
    <x v="0"/>
    <x v="3"/>
    <s v="Bachelor"/>
    <x v="0"/>
    <x v="1"/>
    <n v="53000"/>
    <n v="4"/>
    <x v="1"/>
    <x v="1"/>
    <x v="0"/>
    <x v="0"/>
    <s v="High"/>
  </r>
  <r>
    <x v="24"/>
    <s v="Bilal Ahmed"/>
    <x v="0"/>
    <x v="3"/>
    <x v="0"/>
    <x v="0"/>
    <s v="Master"/>
    <x v="0"/>
    <x v="0"/>
    <n v="66000"/>
    <n v="3"/>
    <x v="0"/>
    <x v="0"/>
    <x v="0"/>
    <x v="0"/>
    <s v="Medium"/>
  </r>
  <r>
    <x v="25"/>
    <s v="Zainab Ali"/>
    <x v="1"/>
    <x v="9"/>
    <x v="2"/>
    <x v="5"/>
    <s v="Bachelor"/>
    <x v="2"/>
    <x v="1"/>
    <n v="55000"/>
    <n v="4"/>
    <x v="1"/>
    <x v="1"/>
    <x v="1"/>
    <x v="0"/>
    <s v="High"/>
  </r>
  <r>
    <x v="26"/>
    <s v="Yusuf Rahman"/>
    <x v="0"/>
    <x v="20"/>
    <x v="1"/>
    <x v="1"/>
    <s v="Master"/>
    <x v="1"/>
    <x v="0"/>
    <n v="73000"/>
    <n v="2"/>
    <x v="0"/>
    <x v="0"/>
    <x v="0"/>
    <x v="1"/>
    <s v="Low"/>
  </r>
  <r>
    <x v="27"/>
    <s v="Mariam Sheikh"/>
    <x v="1"/>
    <x v="10"/>
    <x v="0"/>
    <x v="0"/>
    <s v="Bachelor"/>
    <x v="0"/>
    <x v="0"/>
    <n v="61000"/>
    <n v="3"/>
    <x v="1"/>
    <x v="1"/>
    <x v="0"/>
    <x v="0"/>
    <s v="Medium"/>
  </r>
  <r>
    <x v="28"/>
    <s v="Imran Qureshi"/>
    <x v="0"/>
    <x v="4"/>
    <x v="1"/>
    <x v="4"/>
    <s v="Associate"/>
    <x v="3"/>
    <x v="0"/>
    <n v="47000"/>
    <n v="2"/>
    <x v="0"/>
    <x v="0"/>
    <x v="2"/>
    <x v="2"/>
    <s v="Low"/>
  </r>
  <r>
    <x v="29"/>
    <s v="Noor Ul Haq"/>
    <x v="0"/>
    <x v="7"/>
    <x v="2"/>
    <x v="2"/>
    <s v="Master"/>
    <x v="2"/>
    <x v="0"/>
    <n v="70000"/>
    <n v="3"/>
    <x v="1"/>
    <x v="1"/>
    <x v="0"/>
    <x v="1"/>
    <s v="Medium"/>
  </r>
  <r>
    <x v="30"/>
    <s v="Carlos Rivera"/>
    <x v="0"/>
    <x v="1"/>
    <x v="0"/>
    <x v="0"/>
    <s v="Bachelor"/>
    <x v="0"/>
    <x v="1"/>
    <n v="59000"/>
    <n v="3"/>
    <x v="0"/>
    <x v="0"/>
    <x v="1"/>
    <x v="0"/>
    <s v="Medium"/>
  </r>
  <r>
    <x v="31"/>
    <s v="Maria Gonzalez"/>
    <x v="1"/>
    <x v="15"/>
    <x v="1"/>
    <x v="1"/>
    <s v="Master"/>
    <x v="1"/>
    <x v="0"/>
    <n v="75000"/>
    <n v="4"/>
    <x v="1"/>
    <x v="1"/>
    <x v="0"/>
    <x v="1"/>
    <s v="High"/>
  </r>
  <r>
    <x v="32"/>
    <s v="Ahmed Al-Farsi"/>
    <x v="0"/>
    <x v="2"/>
    <x v="0"/>
    <x v="0"/>
    <s v="Master"/>
    <x v="0"/>
    <x v="0"/>
    <n v="67000"/>
    <n v="2"/>
    <x v="0"/>
    <x v="0"/>
    <x v="0"/>
    <x v="0"/>
    <s v="Low"/>
  </r>
  <r>
    <x v="33"/>
    <s v="Lina Haddad"/>
    <x v="1"/>
    <x v="12"/>
    <x v="2"/>
    <x v="5"/>
    <s v="Bachelor"/>
    <x v="2"/>
    <x v="1"/>
    <n v="56000"/>
    <n v="3"/>
    <x v="1"/>
    <x v="1"/>
    <x v="0"/>
    <x v="0"/>
    <s v="Medium"/>
  </r>
  <r>
    <x v="34"/>
    <s v="John Peterson"/>
    <x v="0"/>
    <x v="21"/>
    <x v="1"/>
    <x v="1"/>
    <s v="PhD"/>
    <x v="1"/>
    <x v="0"/>
    <n v="92000"/>
    <n v="4"/>
    <x v="1"/>
    <x v="1"/>
    <x v="2"/>
    <x v="1"/>
    <s v="High"/>
  </r>
  <r>
    <x v="35"/>
    <s v="Priya Nair"/>
    <x v="1"/>
    <x v="13"/>
    <x v="0"/>
    <x v="3"/>
    <s v="Bachelor"/>
    <x v="0"/>
    <x v="1"/>
    <n v="52000"/>
    <n v="3"/>
    <x v="0"/>
    <x v="0"/>
    <x v="1"/>
    <x v="0"/>
    <s v="Medium"/>
  </r>
  <r>
    <x v="36"/>
    <s v="Hassan Malik"/>
    <x v="0"/>
    <x v="14"/>
    <x v="1"/>
    <x v="4"/>
    <s v="Associate"/>
    <x v="3"/>
    <x v="0"/>
    <n v="48000"/>
    <n v="2"/>
    <x v="0"/>
    <x v="0"/>
    <x v="0"/>
    <x v="2"/>
    <s v="Low"/>
  </r>
  <r>
    <x v="37"/>
    <s v="Kevin Brown"/>
    <x v="0"/>
    <x v="0"/>
    <x v="0"/>
    <x v="0"/>
    <s v="Bachelor"/>
    <x v="0"/>
    <x v="0"/>
    <n v="61000"/>
    <n v="3"/>
    <x v="1"/>
    <x v="1"/>
    <x v="0"/>
    <x v="0"/>
    <s v="Medium"/>
  </r>
  <r>
    <x v="38"/>
    <s v="Farah Mahmood"/>
    <x v="1"/>
    <x v="16"/>
    <x v="2"/>
    <x v="5"/>
    <s v="Bachelor"/>
    <x v="2"/>
    <x v="0"/>
    <n v="58000"/>
    <n v="4"/>
    <x v="1"/>
    <x v="1"/>
    <x v="0"/>
    <x v="0"/>
    <s v="High"/>
  </r>
  <r>
    <x v="39"/>
    <s v="Daniel Kim"/>
    <x v="0"/>
    <x v="18"/>
    <x v="1"/>
    <x v="1"/>
    <s v="Master"/>
    <x v="1"/>
    <x v="0"/>
    <n v="76000"/>
    <n v="3"/>
    <x v="0"/>
    <x v="0"/>
    <x v="0"/>
    <x v="1"/>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887BAE-3612-4C23-9661-A36C0F1060EB}" name="PivotTable11"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D15:E18" firstHeaderRow="1" firstDataRow="1" firstDataCol="1"/>
  <pivotFields count="16">
    <pivotField numFmtId="1"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items count="3">
        <item x="1"/>
        <item x="0"/>
        <item t="default"/>
      </items>
    </pivotField>
    <pivotField dataField="1" numFmtId="1" showAll="0"/>
    <pivotField showAll="0">
      <items count="4">
        <item x="2"/>
        <item x="1"/>
        <item x="0"/>
        <item t="default"/>
      </items>
    </pivotField>
    <pivotField showAll="0"/>
    <pivotField showAll="0"/>
    <pivotField showAll="0"/>
    <pivotField showAll="0">
      <items count="4">
        <item x="2"/>
        <item x="0"/>
        <item x="1"/>
        <item t="default"/>
      </items>
    </pivotField>
    <pivotField numFmtId="164" showAll="0"/>
    <pivotField numFmtId="1" showAll="0"/>
    <pivotField axis="axisRow" showAll="0">
      <items count="3">
        <item x="1"/>
        <item x="0"/>
        <item t="default"/>
      </items>
    </pivotField>
    <pivotField showAll="0"/>
    <pivotField showAll="0"/>
    <pivotField showAll="0"/>
    <pivotField showAll="0"/>
  </pivotFields>
  <rowFields count="1">
    <field x="11"/>
  </rowFields>
  <rowItems count="3">
    <i>
      <x/>
    </i>
    <i>
      <x v="1"/>
    </i>
    <i t="grand">
      <x/>
    </i>
  </rowItems>
  <colItems count="1">
    <i/>
  </colItems>
  <dataFields count="1">
    <dataField name="Average of Age" fld="3"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D9DE68-E63C-4CA8-9DAE-682A43AB307B}" name="PivotTable10"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D12:D13" firstHeaderRow="1" firstDataRow="1" firstDataCol="0"/>
  <pivotFields count="16">
    <pivotField numFmtId="1"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items count="3">
        <item x="1"/>
        <item x="0"/>
        <item t="default"/>
      </items>
    </pivotField>
    <pivotField dataField="1" numFmtId="1" showAll="0"/>
    <pivotField showAll="0">
      <items count="4">
        <item x="2"/>
        <item x="1"/>
        <item x="0"/>
        <item t="default"/>
      </items>
    </pivotField>
    <pivotField showAll="0"/>
    <pivotField showAll="0"/>
    <pivotField showAll="0"/>
    <pivotField showAll="0">
      <items count="4">
        <item x="2"/>
        <item x="0"/>
        <item x="1"/>
        <item t="default"/>
      </items>
    </pivotField>
    <pivotField numFmtId="164" showAll="0"/>
    <pivotField numFmtId="1" showAll="0"/>
    <pivotField showAll="0"/>
    <pivotField showAll="0"/>
    <pivotField showAll="0"/>
    <pivotField showAll="0"/>
    <pivotField showAll="0"/>
  </pivotFields>
  <rowItems count="1">
    <i/>
  </rowItems>
  <colItems count="1">
    <i/>
  </colItems>
  <dataFields count="1">
    <dataField name="Average of Age" fld="3"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218760-0928-4E5F-949D-55B4A0B0E32C}" name="PivotTable8"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15:B18" firstHeaderRow="1" firstDataRow="1" firstDataCol="1"/>
  <pivotFields count="16">
    <pivotField dataField="1" numFmtId="1" showAll="0"/>
    <pivotField showAll="0"/>
    <pivotField showAll="0">
      <items count="3">
        <item x="1"/>
        <item x="0"/>
        <item t="default"/>
      </items>
    </pivotField>
    <pivotField numFmtId="1" showAll="0"/>
    <pivotField showAll="0">
      <items count="4">
        <item x="2"/>
        <item x="1"/>
        <item x="0"/>
        <item t="default"/>
      </items>
    </pivotField>
    <pivotField showAll="0"/>
    <pivotField showAll="0"/>
    <pivotField showAll="0"/>
    <pivotField showAll="0">
      <items count="4">
        <item x="2"/>
        <item x="0"/>
        <item x="1"/>
        <item t="default"/>
      </items>
    </pivotField>
    <pivotField numFmtId="164" showAll="0"/>
    <pivotField numFmtId="1" showAll="0"/>
    <pivotField showAll="0"/>
    <pivotField axis="axisRow" showAll="0">
      <items count="3">
        <item x="1"/>
        <item x="0"/>
        <item t="default"/>
      </items>
    </pivotField>
    <pivotField showAll="0"/>
    <pivotField showAll="0"/>
    <pivotField showAll="0"/>
  </pivotFields>
  <rowFields count="1">
    <field x="12"/>
  </rowFields>
  <rowItems count="3">
    <i>
      <x/>
    </i>
    <i>
      <x v="1"/>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513351-D266-4651-97E7-9C01F93E7C9A}" name="PivotTable9"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11:A12" firstHeaderRow="1" firstDataRow="1" firstDataCol="0"/>
  <pivotFields count="16">
    <pivotField dataField="1" numFmtId="1" showAll="0"/>
    <pivotField showAll="0"/>
    <pivotField showAll="0">
      <items count="3">
        <item x="1"/>
        <item x="0"/>
        <item t="default"/>
      </items>
    </pivotField>
    <pivotField numFmtId="1" showAll="0"/>
    <pivotField showAll="0">
      <items count="4">
        <item x="2"/>
        <item x="1"/>
        <item x="0"/>
        <item t="default"/>
      </items>
    </pivotField>
    <pivotField showAll="0"/>
    <pivotField showAll="0"/>
    <pivotField showAll="0"/>
    <pivotField showAll="0">
      <items count="4">
        <item x="2"/>
        <item x="0"/>
        <item x="1"/>
        <item t="default"/>
      </items>
    </pivotField>
    <pivotField numFmtId="164" showAll="0"/>
    <pivotField numFmtId="1" showAll="0"/>
    <pivotField showAll="0"/>
    <pivotField showAll="0"/>
    <pivotField showAll="0"/>
    <pivotField showAll="0"/>
    <pivotField showAll="0"/>
  </pivotFields>
  <rowItems count="1">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027B5D-AF54-4F46-92F3-F9CFE0546DEC}" name="PivotTable6"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6">
  <location ref="A77:B84" firstHeaderRow="1" firstDataRow="1" firstDataCol="1"/>
  <pivotFields count="16">
    <pivotField numFmtId="1" showAll="0"/>
    <pivotField showAll="0"/>
    <pivotField showAll="0">
      <items count="3">
        <item x="1"/>
        <item x="0"/>
        <item t="default"/>
      </items>
    </pivotField>
    <pivotField numFmtId="1" showAll="0"/>
    <pivotField showAll="0">
      <items count="4">
        <item x="2"/>
        <item x="1"/>
        <item x="0"/>
        <item t="default"/>
      </items>
    </pivotField>
    <pivotField axis="axisRow" showAll="0">
      <items count="7">
        <item x="5"/>
        <item x="2"/>
        <item x="4"/>
        <item x="1"/>
        <item x="0"/>
        <item x="3"/>
        <item t="default"/>
      </items>
    </pivotField>
    <pivotField showAll="0"/>
    <pivotField showAll="0"/>
    <pivotField showAll="0">
      <items count="4">
        <item x="2"/>
        <item x="0"/>
        <item x="1"/>
        <item t="default"/>
      </items>
    </pivotField>
    <pivotField numFmtId="164" showAll="0"/>
    <pivotField numFmtId="1" showAll="0"/>
    <pivotField showAll="0"/>
    <pivotField dataField="1" showAll="0"/>
    <pivotField showAll="0"/>
    <pivotField showAll="0"/>
    <pivotField showAll="0"/>
  </pivotFields>
  <rowFields count="1">
    <field x="5"/>
  </rowFields>
  <rowItems count="7">
    <i>
      <x/>
    </i>
    <i>
      <x v="1"/>
    </i>
    <i>
      <x v="2"/>
    </i>
    <i>
      <x v="3"/>
    </i>
    <i>
      <x v="4"/>
    </i>
    <i>
      <x v="5"/>
    </i>
    <i t="grand">
      <x/>
    </i>
  </rowItems>
  <colItems count="1">
    <i/>
  </colItems>
  <dataFields count="1">
    <dataField name="Sum of Attrition Flag" fld="12" baseField="0" baseItem="0"/>
  </dataFields>
  <chartFormats count="13">
    <chartFormat chart="29" format="3" series="1">
      <pivotArea type="data" outline="0" fieldPosition="0">
        <references count="1">
          <reference field="4294967294" count="1" selected="0">
            <x v="0"/>
          </reference>
        </references>
      </pivotArea>
    </chartFormat>
    <chartFormat chart="29" format="4">
      <pivotArea type="data" outline="0" fieldPosition="0">
        <references count="2">
          <reference field="4294967294" count="1" selected="0">
            <x v="0"/>
          </reference>
          <reference field="5" count="1" selected="0">
            <x v="2"/>
          </reference>
        </references>
      </pivotArea>
    </chartFormat>
    <chartFormat chart="29" format="5">
      <pivotArea type="data" outline="0" fieldPosition="0">
        <references count="2">
          <reference field="4294967294" count="1" selected="0">
            <x v="0"/>
          </reference>
          <reference field="5" count="1" selected="0">
            <x v="1"/>
          </reference>
        </references>
      </pivotArea>
    </chartFormat>
    <chartFormat chart="29" format="6">
      <pivotArea type="data" outline="0" fieldPosition="0">
        <references count="2">
          <reference field="4294967294" count="1" selected="0">
            <x v="0"/>
          </reference>
          <reference field="5" count="1" selected="0">
            <x v="0"/>
          </reference>
        </references>
      </pivotArea>
    </chartFormat>
    <chartFormat chart="29" format="7">
      <pivotArea type="data" outline="0" fieldPosition="0">
        <references count="2">
          <reference field="4294967294" count="1" selected="0">
            <x v="0"/>
          </reference>
          <reference field="5" count="1" selected="0">
            <x v="5"/>
          </reference>
        </references>
      </pivotArea>
    </chartFormat>
    <chartFormat chart="29" format="8">
      <pivotArea type="data" outline="0" fieldPosition="0">
        <references count="2">
          <reference field="4294967294" count="1" selected="0">
            <x v="0"/>
          </reference>
          <reference field="5" count="1" selected="0">
            <x v="3"/>
          </reference>
        </references>
      </pivotArea>
    </chartFormat>
    <chartFormat chart="35" format="16" series="1">
      <pivotArea type="data" outline="0" fieldPosition="0">
        <references count="1">
          <reference field="4294967294" count="1" selected="0">
            <x v="0"/>
          </reference>
        </references>
      </pivotArea>
    </chartFormat>
    <chartFormat chart="35" format="17">
      <pivotArea type="data" outline="0" fieldPosition="0">
        <references count="2">
          <reference field="4294967294" count="1" selected="0">
            <x v="0"/>
          </reference>
          <reference field="5" count="1" selected="0">
            <x v="0"/>
          </reference>
        </references>
      </pivotArea>
    </chartFormat>
    <chartFormat chart="35" format="18">
      <pivotArea type="data" outline="0" fieldPosition="0">
        <references count="2">
          <reference field="4294967294" count="1" selected="0">
            <x v="0"/>
          </reference>
          <reference field="5" count="1" selected="0">
            <x v="1"/>
          </reference>
        </references>
      </pivotArea>
    </chartFormat>
    <chartFormat chart="35" format="19">
      <pivotArea type="data" outline="0" fieldPosition="0">
        <references count="2">
          <reference field="4294967294" count="1" selected="0">
            <x v="0"/>
          </reference>
          <reference field="5" count="1" selected="0">
            <x v="2"/>
          </reference>
        </references>
      </pivotArea>
    </chartFormat>
    <chartFormat chart="35" format="20">
      <pivotArea type="data" outline="0" fieldPosition="0">
        <references count="2">
          <reference field="4294967294" count="1" selected="0">
            <x v="0"/>
          </reference>
          <reference field="5" count="1" selected="0">
            <x v="3"/>
          </reference>
        </references>
      </pivotArea>
    </chartFormat>
    <chartFormat chart="35" format="21">
      <pivotArea type="data" outline="0" fieldPosition="0">
        <references count="2">
          <reference field="4294967294" count="1" selected="0">
            <x v="0"/>
          </reference>
          <reference field="5" count="1" selected="0">
            <x v="4"/>
          </reference>
        </references>
      </pivotArea>
    </chartFormat>
    <chartFormat chart="35" format="22">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7CF62B-BEE1-47E3-BB79-07B122B73703}" name="PivotTable5"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9">
  <location ref="A58:B61" firstHeaderRow="1" firstDataRow="1" firstDataCol="1"/>
  <pivotFields count="16">
    <pivotField dataField="1" numFmtId="1" showAll="0"/>
    <pivotField showAll="0"/>
    <pivotField axis="axisRow" showAll="0">
      <items count="3">
        <item x="1"/>
        <item x="0"/>
        <item t="default"/>
      </items>
    </pivotField>
    <pivotField numFmtId="1" showAll="0"/>
    <pivotField showAll="0">
      <items count="4">
        <item x="2"/>
        <item x="1"/>
        <item x="0"/>
        <item t="default"/>
      </items>
    </pivotField>
    <pivotField showAll="0"/>
    <pivotField showAll="0"/>
    <pivotField showAll="0"/>
    <pivotField showAll="0">
      <items count="4">
        <item x="2"/>
        <item x="0"/>
        <item x="1"/>
        <item t="default"/>
      </items>
    </pivotField>
    <pivotField numFmtId="164" showAll="0"/>
    <pivotField numFmtId="1"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ID" fld="0" subtotal="count" baseField="2" baseItem="0"/>
  </dataFields>
  <chartFormats count="4">
    <chartFormat chart="16" format="3"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2" count="1" selected="0">
            <x v="0"/>
          </reference>
        </references>
      </pivotArea>
    </chartFormat>
    <chartFormat chart="27" format="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CA9FF2-864E-43BD-B5F1-A8A219AA1660}" name="PivotTable2"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23:B28" firstHeaderRow="1" firstDataRow="1" firstDataCol="1"/>
  <pivotFields count="16">
    <pivotField numFmtId="1" showAll="0"/>
    <pivotField showAll="0"/>
    <pivotField showAll="0">
      <items count="3">
        <item x="1"/>
        <item x="0"/>
        <item t="default"/>
      </items>
    </pivotField>
    <pivotField numFmtId="1" showAll="0"/>
    <pivotField showAll="0">
      <items count="4">
        <item x="2"/>
        <item x="1"/>
        <item x="0"/>
        <item t="default"/>
      </items>
    </pivotField>
    <pivotField showAll="0"/>
    <pivotField showAll="0"/>
    <pivotField showAll="0"/>
    <pivotField showAll="0">
      <items count="4">
        <item x="2"/>
        <item x="0"/>
        <item x="1"/>
        <item t="default"/>
      </items>
    </pivotField>
    <pivotField numFmtId="164" showAll="0"/>
    <pivotField numFmtId="1" showAll="0"/>
    <pivotField showAll="0"/>
    <pivotField dataField="1" showAll="0"/>
    <pivotField axis="axisRow" showAll="0">
      <items count="5">
        <item x="0"/>
        <item x="2"/>
        <item x="3"/>
        <item x="1"/>
        <item t="default"/>
      </items>
    </pivotField>
    <pivotField showAll="0"/>
    <pivotField showAll="0"/>
  </pivotFields>
  <rowFields count="1">
    <field x="13"/>
  </rowFields>
  <rowItems count="5">
    <i>
      <x/>
    </i>
    <i>
      <x v="1"/>
    </i>
    <i>
      <x v="2"/>
    </i>
    <i>
      <x v="3"/>
    </i>
    <i t="grand">
      <x/>
    </i>
  </rowItems>
  <colItems count="1">
    <i/>
  </colItems>
  <dataFields count="1">
    <dataField name="Sum of Attrition Flag" fld="12" baseField="4" baseItem="1"/>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0B0FDC-3DB4-4450-B258-4936B7BA26A0}" name="PivotTable1"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3:B7" firstHeaderRow="1" firstDataRow="1" firstDataCol="1"/>
  <pivotFields count="16">
    <pivotField numFmtId="1" showAll="0"/>
    <pivotField showAll="0"/>
    <pivotField showAll="0">
      <items count="3">
        <item x="1"/>
        <item x="0"/>
        <item t="default"/>
      </items>
    </pivotField>
    <pivotField numFmtId="1" showAll="0"/>
    <pivotField axis="axisRow" showAll="0">
      <items count="4">
        <item x="2"/>
        <item x="1"/>
        <item x="0"/>
        <item t="default"/>
      </items>
    </pivotField>
    <pivotField showAll="0"/>
    <pivotField showAll="0"/>
    <pivotField showAll="0"/>
    <pivotField showAll="0">
      <items count="4">
        <item x="2"/>
        <item x="0"/>
        <item x="1"/>
        <item t="default"/>
      </items>
    </pivotField>
    <pivotField numFmtId="164" showAll="0"/>
    <pivotField numFmtId="1" showAll="0"/>
    <pivotField showAll="0"/>
    <pivotField dataField="1" showAll="0"/>
    <pivotField showAll="0"/>
    <pivotField showAll="0"/>
    <pivotField showAll="0"/>
  </pivotFields>
  <rowFields count="1">
    <field x="4"/>
  </rowFields>
  <rowItems count="4">
    <i>
      <x/>
    </i>
    <i>
      <x v="1"/>
    </i>
    <i>
      <x v="2"/>
    </i>
    <i t="grand">
      <x/>
    </i>
  </rowItems>
  <colItems count="1">
    <i/>
  </colItems>
  <dataFields count="1">
    <dataField name="Sum of Attrition Flag" fld="12" baseField="4" baseItem="1"/>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9F6AAE-878F-466E-A126-6C0895311BC7}" name="PivotTable4"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45:B49" firstHeaderRow="1" firstDataRow="1" firstDataCol="1"/>
  <pivotFields count="16">
    <pivotField numFmtId="1" showAll="0"/>
    <pivotField showAll="0"/>
    <pivotField showAll="0">
      <items count="3">
        <item x="1"/>
        <item x="0"/>
        <item t="default"/>
      </items>
    </pivotField>
    <pivotField numFmtId="1" showAll="0"/>
    <pivotField showAll="0">
      <items count="4">
        <item x="2"/>
        <item x="1"/>
        <item x="0"/>
        <item t="default"/>
      </items>
    </pivotField>
    <pivotField showAll="0"/>
    <pivotField showAll="0"/>
    <pivotField showAll="0"/>
    <pivotField showAll="0">
      <items count="4">
        <item x="2"/>
        <item x="0"/>
        <item x="1"/>
        <item t="default"/>
      </items>
    </pivotField>
    <pivotField numFmtId="164" showAll="0"/>
    <pivotField numFmtId="1" showAll="0"/>
    <pivotField showAll="0"/>
    <pivotField dataField="1" showAll="0"/>
    <pivotField showAll="0"/>
    <pivotField axis="axisRow" showAll="0">
      <items count="4">
        <item x="1"/>
        <item x="2"/>
        <item x="0"/>
        <item t="default"/>
      </items>
    </pivotField>
    <pivotField showAll="0"/>
  </pivotFields>
  <rowFields count="1">
    <field x="14"/>
  </rowFields>
  <rowItems count="4">
    <i>
      <x/>
    </i>
    <i>
      <x v="1"/>
    </i>
    <i>
      <x v="2"/>
    </i>
    <i t="grand">
      <x/>
    </i>
  </rowItems>
  <colItems count="1">
    <i/>
  </colItems>
  <dataFields count="1">
    <dataField name="Sum of Attrition Flag" fld="12" baseField="4" baseItem="1"/>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A3780F-2276-4AC5-B13F-70E14D93E96B}" name="PivotTable3" cacheId="1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5:B40" firstHeaderRow="1" firstDataRow="1" firstDataCol="1"/>
  <pivotFields count="16">
    <pivotField numFmtId="1" showAll="0"/>
    <pivotField showAll="0"/>
    <pivotField showAll="0">
      <items count="3">
        <item x="1"/>
        <item x="0"/>
        <item t="default"/>
      </items>
    </pivotField>
    <pivotField numFmtId="1" showAll="0"/>
    <pivotField showAll="0">
      <items count="4">
        <item x="2"/>
        <item x="1"/>
        <item x="0"/>
        <item t="default"/>
      </items>
    </pivotField>
    <pivotField showAll="0"/>
    <pivotField showAll="0"/>
    <pivotField axis="axisRow" showAll="0">
      <items count="5">
        <item x="2"/>
        <item x="1"/>
        <item x="0"/>
        <item x="3"/>
        <item t="default"/>
      </items>
    </pivotField>
    <pivotField showAll="0">
      <items count="4">
        <item x="2"/>
        <item x="0"/>
        <item x="1"/>
        <item t="default"/>
      </items>
    </pivotField>
    <pivotField numFmtId="164" showAll="0"/>
    <pivotField numFmtId="1" showAll="0"/>
    <pivotField showAll="0"/>
    <pivotField dataField="1" showAll="0"/>
    <pivotField showAll="0"/>
    <pivotField showAll="0"/>
    <pivotField showAll="0"/>
  </pivotFields>
  <rowFields count="1">
    <field x="7"/>
  </rowFields>
  <rowItems count="5">
    <i>
      <x/>
    </i>
    <i>
      <x v="1"/>
    </i>
    <i>
      <x v="2"/>
    </i>
    <i>
      <x v="3"/>
    </i>
    <i t="grand">
      <x/>
    </i>
  </rowItems>
  <colItems count="1">
    <i/>
  </colItems>
  <dataFields count="1">
    <dataField name="Sum of Attrition Flag" fld="12" baseField="4" baseItem="1"/>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FC2AA10-6275-4EAD-A28D-128F2AADA528}" sourceName="Department">
  <pivotTables>
    <pivotTable tabId="4" name="PivotTable1"/>
    <pivotTable tabId="4" name="PivotTable2"/>
    <pivotTable tabId="4" name="PivotTable3"/>
    <pivotTable tabId="4" name="PivotTable4"/>
    <pivotTable tabId="4" name="PivotTable5"/>
    <pivotTable tabId="4" name="PivotTable6"/>
    <pivotTable tabId="4" name="PivotTable9"/>
    <pivotTable tabId="4" name="PivotTable8"/>
    <pivotTable tabId="4" name="PivotTable10"/>
    <pivotTable tabId="4" name="PivotTable11"/>
  </pivotTables>
  <data>
    <tabular pivotCacheId="71137384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DFCB214E-6225-4C4B-A111-FDEF5FE03BCF}" sourceName="MaritalStatus">
  <pivotTables>
    <pivotTable tabId="4" name="PivotTable1"/>
    <pivotTable tabId="4" name="PivotTable2"/>
    <pivotTable tabId="4" name="PivotTable3"/>
    <pivotTable tabId="4" name="PivotTable4"/>
    <pivotTable tabId="4" name="PivotTable5"/>
    <pivotTable tabId="4" name="PivotTable6"/>
    <pivotTable tabId="4" name="PivotTable9"/>
    <pivotTable tabId="4" name="PivotTable8"/>
    <pivotTable tabId="4" name="PivotTable10"/>
    <pivotTable tabId="4" name="PivotTable11"/>
  </pivotTables>
  <data>
    <tabular pivotCacheId="71137384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3EE9B5D-A86F-4A6A-9CF2-D14711DBF55B}" sourceName="Gender">
  <pivotTables>
    <pivotTable tabId="4" name="PivotTable1"/>
    <pivotTable tabId="4" name="PivotTable2"/>
    <pivotTable tabId="4" name="PivotTable3"/>
    <pivotTable tabId="4" name="PivotTable4"/>
    <pivotTable tabId="4" name="PivotTable5"/>
    <pivotTable tabId="4" name="PivotTable6"/>
    <pivotTable tabId="4" name="PivotTable9"/>
    <pivotTable tabId="4" name="PivotTable8"/>
    <pivotTable tabId="4" name="PivotTable10"/>
    <pivotTable tabId="4" name="PivotTable11"/>
  </pivotTables>
  <data>
    <tabular pivotCacheId="7113738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7DF9931-B156-4E5F-B226-E171B5E20186}" cache="Slicer_Department" caption="Department" style="SlicerStyleLight5" rowHeight="234950"/>
  <slicer name="MaritalStatus" xr10:uid="{8618912A-4307-4AB9-B5A9-A30B4F3392D0}" cache="Slicer_MaritalStatus" caption="MaritalStatus" style="SlicerStyleLight5" rowHeight="234950"/>
  <slicer name="Gender" xr10:uid="{9902C458-0C22-487E-814C-470E5555E987}" cache="Slicer_Gender" caption="Gender"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F25211-A9B6-437F-B149-BEB9CD096CA3}" name="Attrition_table" displayName="Attrition_table" ref="A1:P41" totalsRowShown="0" headerRowDxfId="19" headerRowBorderDxfId="18" tableBorderDxfId="17" totalsRowBorderDxfId="16">
  <autoFilter ref="A1:P41" xr:uid="{26C6D076-D27C-4B96-B1E8-EA1223F37CEA}"/>
  <tableColumns count="16">
    <tableColumn id="1" xr3:uid="{9A1EA9DA-6CE6-4BAF-A5C4-C9A2D3676AB5}" name="EmployeeID" dataDxfId="15"/>
    <tableColumn id="2" xr3:uid="{E5B47819-0470-40C1-9DE7-812398E466A5}" name="Name" dataDxfId="14"/>
    <tableColumn id="3" xr3:uid="{30A1A009-3598-4D26-B32B-69A3AE9C3ED5}" name="Gender" dataDxfId="13"/>
    <tableColumn id="4" xr3:uid="{5F79E896-6553-4845-A1E0-94B8662B6EA5}" name="Age" dataDxfId="12"/>
    <tableColumn id="5" xr3:uid="{4E3FAEDA-0D09-4049-BE15-3BADC2A24B3E}" name="Department" dataDxfId="11"/>
    <tableColumn id="6" xr3:uid="{B634421A-2BBF-4612-B758-4907AA5FBA67}" name="JobRole" dataDxfId="10"/>
    <tableColumn id="7" xr3:uid="{7EDB9BF8-DE1D-4883-BB5B-26B55722029A}" name="Education" dataDxfId="9"/>
    <tableColumn id="8" xr3:uid="{988CD798-CDAF-4CF0-82A8-EE10F76C9493}" name="EducationField" dataDxfId="8"/>
    <tableColumn id="9" xr3:uid="{BD8BE0E7-62DC-4A8A-80C9-3EACD65414E6}" name="MaritalStatus" dataDxfId="7"/>
    <tableColumn id="10" xr3:uid="{CDDB78ED-6351-4635-B982-DC8A2AFCB023}" name="Salary" dataDxfId="6" dataCellStyle="Currency"/>
    <tableColumn id="11" xr3:uid="{91B28BDB-332C-4711-9FA6-0DDEB534E6A9}" name="JobSatisfaction" dataDxfId="5"/>
    <tableColumn id="12" xr3:uid="{4DEA2EFD-150A-4215-AF7E-F490450EC1C6}" name="Attrition" dataDxfId="4"/>
    <tableColumn id="13" xr3:uid="{6A2A3994-7509-41DF-B30D-AE70F579F83F}" name="Attrition Flag" dataDxfId="3">
      <calculatedColumnFormula>IF(Attrition_table[[#This Row],[Attrition]]="Yes", 1,0)</calculatedColumnFormula>
    </tableColumn>
    <tableColumn id="14" xr3:uid="{008BBDCC-E832-4C91-9CAA-287225332A31}" name="Age-Band" dataDxfId="2">
      <calculatedColumnFormula>IF(Attrition_table[[#This Row],[Age]]&lt;30, "Under 30",IF(Attrition_table[[#This Row],[Age]]&lt;45, "30-44",IF(Attrition_table[[#This Row],[Age]]&lt;50,"45-50","50+")))</calculatedColumnFormula>
    </tableColumn>
    <tableColumn id="15" xr3:uid="{5D7511AA-B85F-401A-8732-8144ECAF4228}" name="Salary Band" dataDxfId="1">
      <calculatedColumnFormula>IF(Attrition_table[[#This Row],[Salary]]&lt;50000, "Low Salary",IF(Attrition_table[[#This Row],[Salary]]&lt;70000,"Medium Salary",IF(Attrition_table[[#This Row],[Salary]]&gt;=70000,"High Salary")))</calculatedColumnFormula>
    </tableColumn>
    <tableColumn id="16" xr3:uid="{0A397A9D-BF44-4844-AC02-9A61C87241EB}" name="Satisfaction Level" dataDxfId="0">
      <calculatedColumnFormula>IF(Attrition_table[[#This Row],[JobSatisfaction]]&lt;=2,"Low",IF(Attrition_table[[#This Row],[JobSatisfaction]]=3,"Medium", "High"))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C87FC-EF46-4F1C-A281-5106E35080CB}">
  <dimension ref="A3:H84"/>
  <sheetViews>
    <sheetView workbookViewId="0">
      <selection activeCell="H15" sqref="H15"/>
    </sheetView>
  </sheetViews>
  <sheetFormatPr defaultRowHeight="13.8"/>
  <cols>
    <col min="1" max="1" width="11.19921875" bestFit="1" customWidth="1"/>
    <col min="2" max="2" width="16.3984375" bestFit="1" customWidth="1"/>
    <col min="3" max="3" width="15.3984375" bestFit="1" customWidth="1"/>
    <col min="4" max="4" width="11.19921875" bestFit="1" customWidth="1"/>
    <col min="5" max="5" width="11.5" bestFit="1" customWidth="1"/>
  </cols>
  <sheetData>
    <row r="3" spans="1:8">
      <c r="A3" s="20" t="s">
        <v>85</v>
      </c>
      <c r="B3" t="s">
        <v>87</v>
      </c>
    </row>
    <row r="4" spans="1:8">
      <c r="A4" s="21" t="s">
        <v>17</v>
      </c>
      <c r="B4" s="19">
        <v>3</v>
      </c>
    </row>
    <row r="5" spans="1:8">
      <c r="A5" s="21" t="s">
        <v>10</v>
      </c>
      <c r="B5" s="19">
        <v>8</v>
      </c>
    </row>
    <row r="6" spans="1:8">
      <c r="A6" s="21" t="s">
        <v>2</v>
      </c>
      <c r="B6" s="19">
        <v>9</v>
      </c>
    </row>
    <row r="7" spans="1:8">
      <c r="A7" s="21" t="s">
        <v>86</v>
      </c>
      <c r="B7" s="19">
        <v>20</v>
      </c>
    </row>
    <row r="11" spans="1:8">
      <c r="A11" t="s">
        <v>95</v>
      </c>
    </row>
    <row r="12" spans="1:8">
      <c r="A12" s="19">
        <v>40</v>
      </c>
      <c r="D12" t="s">
        <v>98</v>
      </c>
      <c r="E12" t="s">
        <v>99</v>
      </c>
    </row>
    <row r="13" spans="1:8">
      <c r="A13" t="s">
        <v>96</v>
      </c>
      <c r="B13">
        <f>GETPIVOTDATA("EmployeeID",$A$11)</f>
        <v>40</v>
      </c>
      <c r="D13" s="19">
        <v>35.375</v>
      </c>
      <c r="E13" s="6">
        <f>GETPIVOTDATA("Age",$D$12)</f>
        <v>35.375</v>
      </c>
    </row>
    <row r="14" spans="1:8">
      <c r="H14" t="str">
        <f>"CURRENT STATUS: The average age of leavers is " &amp; ROUND($E$13,0) &amp; " years. The highest risk is currently in the " &amp; IF($B$19&gt;10, "High Attrition", "Stable") &amp; " zone."</f>
        <v>CURRENT STATUS: The average age of leavers is 35 years. The highest risk is currently in the High Attrition zone.</v>
      </c>
    </row>
    <row r="15" spans="1:8">
      <c r="A15" s="20" t="s">
        <v>85</v>
      </c>
      <c r="B15" t="s">
        <v>95</v>
      </c>
      <c r="D15" s="20" t="s">
        <v>85</v>
      </c>
      <c r="E15" t="s">
        <v>98</v>
      </c>
    </row>
    <row r="16" spans="1:8">
      <c r="A16" s="21">
        <v>0</v>
      </c>
      <c r="B16" s="19">
        <v>20</v>
      </c>
      <c r="D16" s="21" t="s">
        <v>15</v>
      </c>
      <c r="E16" s="19">
        <v>33.450000000000003</v>
      </c>
    </row>
    <row r="17" spans="1:5">
      <c r="A17" s="21">
        <v>1</v>
      </c>
      <c r="B17" s="19">
        <v>20</v>
      </c>
      <c r="D17" s="21" t="s">
        <v>7</v>
      </c>
      <c r="E17" s="19">
        <v>37.299999999999997</v>
      </c>
    </row>
    <row r="18" spans="1:5">
      <c r="A18" s="21" t="s">
        <v>86</v>
      </c>
      <c r="B18" s="19">
        <v>40</v>
      </c>
      <c r="D18" s="21" t="s">
        <v>86</v>
      </c>
      <c r="E18" s="19">
        <v>35.375</v>
      </c>
    </row>
    <row r="19" spans="1:5">
      <c r="A19" t="s">
        <v>97</v>
      </c>
      <c r="B19">
        <f>GETPIVOTDATA("EmployeeID",$A$15,"Attrition Flag",1)</f>
        <v>20</v>
      </c>
    </row>
    <row r="20" spans="1:5">
      <c r="A20" s="21" t="s">
        <v>100</v>
      </c>
      <c r="B20">
        <f>GETPIVOTDATA("EmployeeID",$A$15,"Attrition Flag",0)</f>
        <v>20</v>
      </c>
    </row>
    <row r="21" spans="1:5">
      <c r="A21" s="21" t="s">
        <v>101</v>
      </c>
      <c r="B21" s="23">
        <f>GETPIVOTDATA("EmployeeID",$A$15,"Attrition Flag",1)/GETPIVOTDATA("EmployeeID",$A$15)</f>
        <v>0.5</v>
      </c>
    </row>
    <row r="23" spans="1:5">
      <c r="A23" s="20" t="s">
        <v>85</v>
      </c>
      <c r="B23" t="s">
        <v>87</v>
      </c>
    </row>
    <row r="24" spans="1:5">
      <c r="A24" s="21" t="s">
        <v>88</v>
      </c>
      <c r="B24" s="19">
        <v>12</v>
      </c>
    </row>
    <row r="25" spans="1:5">
      <c r="A25" s="21" t="s">
        <v>92</v>
      </c>
      <c r="B25" s="19">
        <v>3</v>
      </c>
    </row>
    <row r="26" spans="1:5">
      <c r="A26" s="21" t="s">
        <v>93</v>
      </c>
      <c r="B26" s="19">
        <v>1</v>
      </c>
    </row>
    <row r="27" spans="1:5">
      <c r="A27" s="21" t="s">
        <v>90</v>
      </c>
      <c r="B27" s="19">
        <v>4</v>
      </c>
    </row>
    <row r="28" spans="1:5">
      <c r="A28" s="21" t="s">
        <v>86</v>
      </c>
      <c r="B28" s="19">
        <v>20</v>
      </c>
    </row>
    <row r="35" spans="1:2">
      <c r="A35" s="20" t="s">
        <v>85</v>
      </c>
      <c r="B35" t="s">
        <v>87</v>
      </c>
    </row>
    <row r="36" spans="1:2">
      <c r="A36" s="21" t="s">
        <v>19</v>
      </c>
      <c r="B36" s="19">
        <v>3</v>
      </c>
    </row>
    <row r="37" spans="1:2">
      <c r="A37" s="21" t="s">
        <v>13</v>
      </c>
      <c r="B37" s="19">
        <v>4</v>
      </c>
    </row>
    <row r="38" spans="1:2">
      <c r="A38" s="21" t="s">
        <v>5</v>
      </c>
      <c r="B38" s="19">
        <v>9</v>
      </c>
    </row>
    <row r="39" spans="1:2">
      <c r="A39" s="21" t="s">
        <v>26</v>
      </c>
      <c r="B39" s="19">
        <v>4</v>
      </c>
    </row>
    <row r="40" spans="1:2">
      <c r="A40" s="21" t="s">
        <v>86</v>
      </c>
      <c r="B40" s="19">
        <v>20</v>
      </c>
    </row>
    <row r="45" spans="1:2">
      <c r="A45" s="20" t="s">
        <v>85</v>
      </c>
      <c r="B45" t="s">
        <v>87</v>
      </c>
    </row>
    <row r="46" spans="1:2">
      <c r="A46" s="21" t="s">
        <v>89</v>
      </c>
      <c r="B46" s="19">
        <v>5</v>
      </c>
    </row>
    <row r="47" spans="1:2">
      <c r="A47" s="21" t="s">
        <v>91</v>
      </c>
      <c r="B47" s="19">
        <v>4</v>
      </c>
    </row>
    <row r="48" spans="1:2">
      <c r="A48" s="21" t="s">
        <v>94</v>
      </c>
      <c r="B48" s="19">
        <v>11</v>
      </c>
    </row>
    <row r="49" spans="1:2">
      <c r="A49" s="21" t="s">
        <v>86</v>
      </c>
      <c r="B49" s="19">
        <v>20</v>
      </c>
    </row>
    <row r="58" spans="1:2">
      <c r="A58" s="20" t="s">
        <v>85</v>
      </c>
      <c r="B58" t="s">
        <v>95</v>
      </c>
    </row>
    <row r="59" spans="1:2">
      <c r="A59" s="21" t="s">
        <v>9</v>
      </c>
      <c r="B59" s="19">
        <v>16</v>
      </c>
    </row>
    <row r="60" spans="1:2">
      <c r="A60" s="21" t="s">
        <v>1</v>
      </c>
      <c r="B60" s="19">
        <v>24</v>
      </c>
    </row>
    <row r="61" spans="1:2">
      <c r="A61" s="21" t="s">
        <v>86</v>
      </c>
      <c r="B61" s="19">
        <v>40</v>
      </c>
    </row>
    <row r="77" spans="1:2">
      <c r="A77" s="20" t="s">
        <v>85</v>
      </c>
      <c r="B77" t="s">
        <v>87</v>
      </c>
    </row>
    <row r="78" spans="1:2">
      <c r="A78" s="21" t="s">
        <v>28</v>
      </c>
      <c r="B78" s="19">
        <v>1</v>
      </c>
    </row>
    <row r="79" spans="1:2">
      <c r="A79" s="21" t="s">
        <v>18</v>
      </c>
      <c r="B79" s="19">
        <v>2</v>
      </c>
    </row>
    <row r="80" spans="1:2">
      <c r="A80" s="21" t="s">
        <v>24</v>
      </c>
      <c r="B80" s="19">
        <v>4</v>
      </c>
    </row>
    <row r="81" spans="1:2">
      <c r="A81" s="21" t="s">
        <v>11</v>
      </c>
      <c r="B81" s="19">
        <v>4</v>
      </c>
    </row>
    <row r="82" spans="1:2">
      <c r="A82" s="21" t="s">
        <v>3</v>
      </c>
      <c r="B82" s="19">
        <v>7</v>
      </c>
    </row>
    <row r="83" spans="1:2">
      <c r="A83" s="21" t="s">
        <v>21</v>
      </c>
      <c r="B83" s="19">
        <v>2</v>
      </c>
    </row>
    <row r="84" spans="1:2">
      <c r="A84" s="21" t="s">
        <v>86</v>
      </c>
      <c r="B84" s="19">
        <v>20</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6749D-0112-4C37-87A0-2005342B2F62}">
  <dimension ref="A1:P41"/>
  <sheetViews>
    <sheetView workbookViewId="0">
      <selection activeCell="B30" sqref="B30"/>
    </sheetView>
  </sheetViews>
  <sheetFormatPr defaultRowHeight="13.8"/>
  <cols>
    <col min="1" max="1" width="15.59765625" style="6" bestFit="1" customWidth="1"/>
    <col min="2" max="2" width="14.796875" bestFit="1" customWidth="1"/>
    <col min="3" max="3" width="11.3984375" bestFit="1" customWidth="1"/>
    <col min="4" max="4" width="8.796875" style="6"/>
    <col min="5" max="5" width="15.19921875" bestFit="1" customWidth="1"/>
    <col min="6" max="6" width="18.19921875" bestFit="1" customWidth="1"/>
    <col min="7" max="7" width="13.59765625" bestFit="1" customWidth="1"/>
    <col min="8" max="8" width="18" bestFit="1" customWidth="1"/>
    <col min="9" max="9" width="16.19921875" bestFit="1" customWidth="1"/>
    <col min="10" max="10" width="11.09765625" style="3" bestFit="1" customWidth="1"/>
    <col min="11" max="11" width="18.3984375" style="6" bestFit="1" customWidth="1"/>
    <col min="12" max="12" width="11.8984375" bestFit="1" customWidth="1"/>
    <col min="13" max="13" width="16.09765625" bestFit="1" customWidth="1"/>
    <col min="14" max="14" width="13.5" bestFit="1" customWidth="1"/>
    <col min="15" max="15" width="15.3984375" bestFit="1" customWidth="1"/>
    <col min="16" max="16" width="20.59765625" bestFit="1" customWidth="1"/>
  </cols>
  <sheetData>
    <row r="1" spans="1:16">
      <c r="A1" s="14" t="s">
        <v>64</v>
      </c>
      <c r="B1" s="15" t="s">
        <v>65</v>
      </c>
      <c r="C1" s="15" t="s">
        <v>66</v>
      </c>
      <c r="D1" s="16" t="s">
        <v>67</v>
      </c>
      <c r="E1" s="15" t="s">
        <v>68</v>
      </c>
      <c r="F1" s="15" t="s">
        <v>69</v>
      </c>
      <c r="G1" s="15" t="s">
        <v>70</v>
      </c>
      <c r="H1" s="15" t="s">
        <v>71</v>
      </c>
      <c r="I1" s="15" t="s">
        <v>72</v>
      </c>
      <c r="J1" s="17" t="s">
        <v>73</v>
      </c>
      <c r="K1" s="16" t="s">
        <v>74</v>
      </c>
      <c r="L1" s="18" t="s">
        <v>75</v>
      </c>
      <c r="M1" s="15" t="s">
        <v>76</v>
      </c>
      <c r="N1" s="15" t="s">
        <v>77</v>
      </c>
      <c r="O1" s="15" t="s">
        <v>78</v>
      </c>
      <c r="P1" s="15" t="s">
        <v>79</v>
      </c>
    </row>
    <row r="2" spans="1:16">
      <c r="A2" s="7">
        <v>1</v>
      </c>
      <c r="B2" s="1" t="s">
        <v>0</v>
      </c>
      <c r="C2" s="1" t="s">
        <v>1</v>
      </c>
      <c r="D2" s="5">
        <v>34</v>
      </c>
      <c r="E2" s="1" t="s">
        <v>2</v>
      </c>
      <c r="F2" s="1" t="s">
        <v>3</v>
      </c>
      <c r="G2" s="1" t="s">
        <v>4</v>
      </c>
      <c r="H2" s="1" t="s">
        <v>5</v>
      </c>
      <c r="I2" s="1" t="s">
        <v>6</v>
      </c>
      <c r="J2" s="2">
        <v>60000</v>
      </c>
      <c r="K2" s="5">
        <v>3</v>
      </c>
      <c r="L2" s="8" t="s">
        <v>7</v>
      </c>
      <c r="M2">
        <f>IF(Attrition_table[[#This Row],[Attrition]]="Yes", 1,0)</f>
        <v>1</v>
      </c>
      <c r="N2" t="str">
        <f>IF(Attrition_table[[#This Row],[Age]]&lt;30, "Under 30",IF(Attrition_table[[#This Row],[Age]]&lt;45, "30-44",IF(Attrition_table[[#This Row],[Age]]&lt;50,"45-50","50+")))</f>
        <v>30-44</v>
      </c>
      <c r="O2" t="str">
        <f>IF(Attrition_table[[#This Row],[Salary]]&lt;50000, "Low Salary",IF(Attrition_table[[#This Row],[Salary]]&lt;70000,"Medium Salary",IF(Attrition_table[[#This Row],[Salary]]&gt;=70000,"High Salary")))</f>
        <v>Medium Salary</v>
      </c>
      <c r="P2" s="19" t="str">
        <f>IF(Attrition_table[[#This Row],[JobSatisfaction]]&lt;=2,"Low",IF(Attrition_table[[#This Row],[JobSatisfaction]]=3,"Medium", "High"))</f>
        <v>Medium</v>
      </c>
    </row>
    <row r="3" spans="1:16">
      <c r="A3" s="7">
        <v>2</v>
      </c>
      <c r="B3" s="1" t="s">
        <v>8</v>
      </c>
      <c r="C3" s="1" t="s">
        <v>9</v>
      </c>
      <c r="D3" s="5">
        <v>29</v>
      </c>
      <c r="E3" s="1" t="s">
        <v>10</v>
      </c>
      <c r="F3" s="1" t="s">
        <v>11</v>
      </c>
      <c r="G3" s="1" t="s">
        <v>12</v>
      </c>
      <c r="H3" s="1" t="s">
        <v>13</v>
      </c>
      <c r="I3" s="1" t="s">
        <v>14</v>
      </c>
      <c r="J3" s="2">
        <v>72000</v>
      </c>
      <c r="K3" s="5">
        <v>4</v>
      </c>
      <c r="L3" s="8" t="s">
        <v>15</v>
      </c>
      <c r="M3">
        <f>IF(Attrition_table[[#This Row],[Attrition]]="Yes", 1,0)</f>
        <v>0</v>
      </c>
      <c r="N3" t="str">
        <f>IF(Attrition_table[[#This Row],[Age]]&lt;30, "Under 30",IF(Attrition_table[[#This Row],[Age]]&lt;45, "30-44",IF(Attrition_table[[#This Row],[Age]]&lt;50,"45-50","50+")))</f>
        <v>Under 30</v>
      </c>
      <c r="O3" t="str">
        <f>IF(Attrition_table[[#This Row],[Salary]]&lt;50000, "Low Salary",IF(Attrition_table[[#This Row],[Salary]]&lt;70000,"Medium Salary",IF(Attrition_table[[#This Row],[Salary]]&gt;=70000,"High Salary")))</f>
        <v>High Salary</v>
      </c>
      <c r="P3" s="19" t="str">
        <f>IF(Attrition_table[[#This Row],[JobSatisfaction]]&lt;=2,"Low",IF(Attrition_table[[#This Row],[JobSatisfaction]]=3,"Medium", "High"))</f>
        <v>High</v>
      </c>
    </row>
    <row r="4" spans="1:16">
      <c r="A4" s="7">
        <v>3</v>
      </c>
      <c r="B4" s="1" t="s">
        <v>16</v>
      </c>
      <c r="C4" s="1" t="s">
        <v>1</v>
      </c>
      <c r="D4" s="5">
        <v>41</v>
      </c>
      <c r="E4" s="1" t="s">
        <v>17</v>
      </c>
      <c r="F4" s="1" t="s">
        <v>18</v>
      </c>
      <c r="G4" s="1" t="s">
        <v>12</v>
      </c>
      <c r="H4" s="1" t="s">
        <v>19</v>
      </c>
      <c r="I4" s="1" t="s">
        <v>6</v>
      </c>
      <c r="J4" s="2">
        <v>68000</v>
      </c>
      <c r="K4" s="5">
        <v>2</v>
      </c>
      <c r="L4" s="8" t="s">
        <v>7</v>
      </c>
      <c r="M4">
        <f>IF(Attrition_table[[#This Row],[Attrition]]="Yes", 1,0)</f>
        <v>1</v>
      </c>
      <c r="N4" t="str">
        <f>IF(Attrition_table[[#This Row],[Age]]&lt;30, "Under 30",IF(Attrition_table[[#This Row],[Age]]&lt;45, "30-44",IF(Attrition_table[[#This Row],[Age]]&lt;50,"45-50","50+")))</f>
        <v>30-44</v>
      </c>
      <c r="O4" t="str">
        <f>IF(Attrition_table[[#This Row],[Salary]]&lt;50000, "Low Salary",IF(Attrition_table[[#This Row],[Salary]]&lt;70000,"Medium Salary",IF(Attrition_table[[#This Row],[Salary]]&gt;=70000,"High Salary")))</f>
        <v>Medium Salary</v>
      </c>
      <c r="P4" s="19" t="str">
        <f>IF(Attrition_table[[#This Row],[JobSatisfaction]]&lt;=2,"Low",IF(Attrition_table[[#This Row],[JobSatisfaction]]=3,"Medium", "High"))</f>
        <v>Low</v>
      </c>
    </row>
    <row r="5" spans="1:16">
      <c r="A5" s="7">
        <v>4</v>
      </c>
      <c r="B5" s="1" t="s">
        <v>20</v>
      </c>
      <c r="C5" s="1" t="s">
        <v>9</v>
      </c>
      <c r="D5" s="5">
        <v>36</v>
      </c>
      <c r="E5" s="1" t="s">
        <v>2</v>
      </c>
      <c r="F5" s="1" t="s">
        <v>21</v>
      </c>
      <c r="G5" s="1" t="s">
        <v>4</v>
      </c>
      <c r="H5" s="1" t="s">
        <v>5</v>
      </c>
      <c r="I5" s="1" t="s">
        <v>22</v>
      </c>
      <c r="J5" s="2">
        <v>52000</v>
      </c>
      <c r="K5" s="5">
        <v>3</v>
      </c>
      <c r="L5" s="8" t="s">
        <v>15</v>
      </c>
      <c r="M5">
        <f>IF(Attrition_table[[#This Row],[Attrition]]="Yes", 1,0)</f>
        <v>0</v>
      </c>
      <c r="N5" t="str">
        <f>IF(Attrition_table[[#This Row],[Age]]&lt;30, "Under 30",IF(Attrition_table[[#This Row],[Age]]&lt;45, "30-44",IF(Attrition_table[[#This Row],[Age]]&lt;50,"45-50","50+")))</f>
        <v>30-44</v>
      </c>
      <c r="O5" t="str">
        <f>IF(Attrition_table[[#This Row],[Salary]]&lt;50000, "Low Salary",IF(Attrition_table[[#This Row],[Salary]]&lt;70000,"Medium Salary",IF(Attrition_table[[#This Row],[Salary]]&gt;=70000,"High Salary")))</f>
        <v>Medium Salary</v>
      </c>
      <c r="P5" s="19" t="str">
        <f>IF(Attrition_table[[#This Row],[JobSatisfaction]]&lt;=2,"Low",IF(Attrition_table[[#This Row],[JobSatisfaction]]=3,"Medium", "High"))</f>
        <v>Medium</v>
      </c>
    </row>
    <row r="6" spans="1:16">
      <c r="A6" s="7">
        <v>5</v>
      </c>
      <c r="B6" s="1" t="s">
        <v>23</v>
      </c>
      <c r="C6" s="1" t="s">
        <v>1</v>
      </c>
      <c r="D6" s="5">
        <v>45</v>
      </c>
      <c r="E6" s="1" t="s">
        <v>10</v>
      </c>
      <c r="F6" s="1" t="s">
        <v>24</v>
      </c>
      <c r="G6" s="1" t="s">
        <v>25</v>
      </c>
      <c r="H6" s="1" t="s">
        <v>26</v>
      </c>
      <c r="I6" s="1" t="s">
        <v>6</v>
      </c>
      <c r="J6" s="2">
        <v>48000</v>
      </c>
      <c r="K6" s="5">
        <v>2</v>
      </c>
      <c r="L6" s="8" t="s">
        <v>7</v>
      </c>
      <c r="M6">
        <f>IF(Attrition_table[[#This Row],[Attrition]]="Yes", 1,0)</f>
        <v>1</v>
      </c>
      <c r="N6" t="str">
        <f>IF(Attrition_table[[#This Row],[Age]]&lt;30, "Under 30",IF(Attrition_table[[#This Row],[Age]]&lt;45, "30-44",IF(Attrition_table[[#This Row],[Age]]&lt;50,"45-50","50+")))</f>
        <v>45-50</v>
      </c>
      <c r="O6" t="str">
        <f>IF(Attrition_table[[#This Row],[Salary]]&lt;50000, "Low Salary",IF(Attrition_table[[#This Row],[Salary]]&lt;70000,"Medium Salary",IF(Attrition_table[[#This Row],[Salary]]&gt;=70000,"High Salary")))</f>
        <v>Low Salary</v>
      </c>
      <c r="P6" s="19" t="str">
        <f>IF(Attrition_table[[#This Row],[JobSatisfaction]]&lt;=2,"Low",IF(Attrition_table[[#This Row],[JobSatisfaction]]=3,"Medium", "High"))</f>
        <v>Low</v>
      </c>
    </row>
    <row r="7" spans="1:16">
      <c r="A7" s="7">
        <v>6</v>
      </c>
      <c r="B7" s="1" t="s">
        <v>27</v>
      </c>
      <c r="C7" s="1" t="s">
        <v>9</v>
      </c>
      <c r="D7" s="5">
        <v>31</v>
      </c>
      <c r="E7" s="1" t="s">
        <v>17</v>
      </c>
      <c r="F7" s="1" t="s">
        <v>28</v>
      </c>
      <c r="G7" s="1" t="s">
        <v>4</v>
      </c>
      <c r="H7" s="1" t="s">
        <v>19</v>
      </c>
      <c r="I7" s="1" t="s">
        <v>14</v>
      </c>
      <c r="J7" s="2">
        <v>55000</v>
      </c>
      <c r="K7" s="5">
        <v>4</v>
      </c>
      <c r="L7" s="8" t="s">
        <v>15</v>
      </c>
      <c r="M7">
        <f>IF(Attrition_table[[#This Row],[Attrition]]="Yes", 1,0)</f>
        <v>0</v>
      </c>
      <c r="N7" t="str">
        <f>IF(Attrition_table[[#This Row],[Age]]&lt;30, "Under 30",IF(Attrition_table[[#This Row],[Age]]&lt;45, "30-44",IF(Attrition_table[[#This Row],[Age]]&lt;50,"45-50","50+")))</f>
        <v>30-44</v>
      </c>
      <c r="O7" t="str">
        <f>IF(Attrition_table[[#This Row],[Salary]]&lt;50000, "Low Salary",IF(Attrition_table[[#This Row],[Salary]]&lt;70000,"Medium Salary",IF(Attrition_table[[#This Row],[Salary]]&gt;=70000,"High Salary")))</f>
        <v>Medium Salary</v>
      </c>
      <c r="P7" s="19" t="str">
        <f>IF(Attrition_table[[#This Row],[JobSatisfaction]]&lt;=2,"Low",IF(Attrition_table[[#This Row],[JobSatisfaction]]=3,"Medium", "High"))</f>
        <v>High</v>
      </c>
    </row>
    <row r="8" spans="1:16">
      <c r="A8" s="7">
        <v>7</v>
      </c>
      <c r="B8" s="1" t="s">
        <v>29</v>
      </c>
      <c r="C8" s="1" t="s">
        <v>1</v>
      </c>
      <c r="D8" s="5">
        <v>28</v>
      </c>
      <c r="E8" s="1" t="s">
        <v>2</v>
      </c>
      <c r="F8" s="1" t="s">
        <v>3</v>
      </c>
      <c r="G8" s="1" t="s">
        <v>4</v>
      </c>
      <c r="H8" s="1" t="s">
        <v>5</v>
      </c>
      <c r="I8" s="1" t="s">
        <v>14</v>
      </c>
      <c r="J8" s="2">
        <v>58000</v>
      </c>
      <c r="K8" s="5">
        <v>3</v>
      </c>
      <c r="L8" s="8" t="s">
        <v>7</v>
      </c>
      <c r="M8">
        <f>IF(Attrition_table[[#This Row],[Attrition]]="Yes", 1,0)</f>
        <v>1</v>
      </c>
      <c r="N8" t="str">
        <f>IF(Attrition_table[[#This Row],[Age]]&lt;30, "Under 30",IF(Attrition_table[[#This Row],[Age]]&lt;45, "30-44",IF(Attrition_table[[#This Row],[Age]]&lt;50,"45-50","50+")))</f>
        <v>Under 30</v>
      </c>
      <c r="O8" t="str">
        <f>IF(Attrition_table[[#This Row],[Salary]]&lt;50000, "Low Salary",IF(Attrition_table[[#This Row],[Salary]]&lt;70000,"Medium Salary",IF(Attrition_table[[#This Row],[Salary]]&gt;=70000,"High Salary")))</f>
        <v>Medium Salary</v>
      </c>
      <c r="P8" s="19" t="str">
        <f>IF(Attrition_table[[#This Row],[JobSatisfaction]]&lt;=2,"Low",IF(Attrition_table[[#This Row],[JobSatisfaction]]=3,"Medium", "High"))</f>
        <v>Medium</v>
      </c>
    </row>
    <row r="9" spans="1:16">
      <c r="A9" s="7">
        <v>8</v>
      </c>
      <c r="B9" s="1" t="s">
        <v>30</v>
      </c>
      <c r="C9" s="1" t="s">
        <v>9</v>
      </c>
      <c r="D9" s="5">
        <v>38</v>
      </c>
      <c r="E9" s="1" t="s">
        <v>10</v>
      </c>
      <c r="F9" s="1" t="s">
        <v>11</v>
      </c>
      <c r="G9" s="1" t="s">
        <v>31</v>
      </c>
      <c r="H9" s="1" t="s">
        <v>13</v>
      </c>
      <c r="I9" s="1" t="s">
        <v>6</v>
      </c>
      <c r="J9" s="2">
        <v>90000</v>
      </c>
      <c r="K9" s="5">
        <v>4</v>
      </c>
      <c r="L9" s="8" t="s">
        <v>15</v>
      </c>
      <c r="M9">
        <f>IF(Attrition_table[[#This Row],[Attrition]]="Yes", 1,0)</f>
        <v>0</v>
      </c>
      <c r="N9" t="str">
        <f>IF(Attrition_table[[#This Row],[Age]]&lt;30, "Under 30",IF(Attrition_table[[#This Row],[Age]]&lt;45, "30-44",IF(Attrition_table[[#This Row],[Age]]&lt;50,"45-50","50+")))</f>
        <v>30-44</v>
      </c>
      <c r="O9" t="str">
        <f>IF(Attrition_table[[#This Row],[Salary]]&lt;50000, "Low Salary",IF(Attrition_table[[#This Row],[Salary]]&lt;70000,"Medium Salary",IF(Attrition_table[[#This Row],[Salary]]&gt;=70000,"High Salary")))</f>
        <v>High Salary</v>
      </c>
      <c r="P9" s="19" t="str">
        <f>IF(Attrition_table[[#This Row],[JobSatisfaction]]&lt;=2,"Low",IF(Attrition_table[[#This Row],[JobSatisfaction]]=3,"Medium", "High"))</f>
        <v>High</v>
      </c>
    </row>
    <row r="10" spans="1:16">
      <c r="A10" s="7">
        <v>9</v>
      </c>
      <c r="B10" s="1" t="s">
        <v>32</v>
      </c>
      <c r="C10" s="1" t="s">
        <v>1</v>
      </c>
      <c r="D10" s="5">
        <v>50</v>
      </c>
      <c r="E10" s="1" t="s">
        <v>17</v>
      </c>
      <c r="F10" s="1" t="s">
        <v>18</v>
      </c>
      <c r="G10" s="1" t="s">
        <v>12</v>
      </c>
      <c r="H10" s="1" t="s">
        <v>19</v>
      </c>
      <c r="I10" s="1" t="s">
        <v>6</v>
      </c>
      <c r="J10" s="2">
        <v>75000</v>
      </c>
      <c r="K10" s="5">
        <v>2</v>
      </c>
      <c r="L10" s="8" t="s">
        <v>7</v>
      </c>
      <c r="M10">
        <f>IF(Attrition_table[[#This Row],[Attrition]]="Yes", 1,0)</f>
        <v>1</v>
      </c>
      <c r="N10" t="str">
        <f>IF(Attrition_table[[#This Row],[Age]]&lt;30, "Under 30",IF(Attrition_table[[#This Row],[Age]]&lt;45, "30-44",IF(Attrition_table[[#This Row],[Age]]&lt;50,"45-50","50+")))</f>
        <v>50+</v>
      </c>
      <c r="O10" t="str">
        <f>IF(Attrition_table[[#This Row],[Salary]]&lt;50000, "Low Salary",IF(Attrition_table[[#This Row],[Salary]]&lt;70000,"Medium Salary",IF(Attrition_table[[#This Row],[Salary]]&gt;=70000,"High Salary")))</f>
        <v>High Salary</v>
      </c>
      <c r="P10" s="19" t="str">
        <f>IF(Attrition_table[[#This Row],[JobSatisfaction]]&lt;=2,"Low",IF(Attrition_table[[#This Row],[JobSatisfaction]]=3,"Medium", "High"))</f>
        <v>Low</v>
      </c>
    </row>
    <row r="11" spans="1:16">
      <c r="A11" s="7">
        <v>10</v>
      </c>
      <c r="B11" s="1" t="s">
        <v>33</v>
      </c>
      <c r="C11" s="1" t="s">
        <v>9</v>
      </c>
      <c r="D11" s="5">
        <v>27</v>
      </c>
      <c r="E11" s="1" t="s">
        <v>2</v>
      </c>
      <c r="F11" s="1" t="s">
        <v>21</v>
      </c>
      <c r="G11" s="1" t="s">
        <v>4</v>
      </c>
      <c r="H11" s="1" t="s">
        <v>5</v>
      </c>
      <c r="I11" s="1" t="s">
        <v>14</v>
      </c>
      <c r="J11" s="2">
        <v>50000</v>
      </c>
      <c r="K11" s="5">
        <v>3</v>
      </c>
      <c r="L11" s="8" t="s">
        <v>15</v>
      </c>
      <c r="M11">
        <f>IF(Attrition_table[[#This Row],[Attrition]]="Yes", 1,0)</f>
        <v>0</v>
      </c>
      <c r="N11" t="str">
        <f>IF(Attrition_table[[#This Row],[Age]]&lt;30, "Under 30",IF(Attrition_table[[#This Row],[Age]]&lt;45, "30-44",IF(Attrition_table[[#This Row],[Age]]&lt;50,"45-50","50+")))</f>
        <v>Under 30</v>
      </c>
      <c r="O11" t="str">
        <f>IF(Attrition_table[[#This Row],[Salary]]&lt;50000, "Low Salary",IF(Attrition_table[[#This Row],[Salary]]&lt;70000,"Medium Salary",IF(Attrition_table[[#This Row],[Salary]]&gt;=70000,"High Salary")))</f>
        <v>Medium Salary</v>
      </c>
      <c r="P11" s="19" t="str">
        <f>IF(Attrition_table[[#This Row],[JobSatisfaction]]&lt;=2,"Low",IF(Attrition_table[[#This Row],[JobSatisfaction]]=3,"Medium", "High"))</f>
        <v>Medium</v>
      </c>
    </row>
    <row r="12" spans="1:16">
      <c r="A12" s="7">
        <v>11</v>
      </c>
      <c r="B12" s="1" t="s">
        <v>34</v>
      </c>
      <c r="C12" s="1" t="s">
        <v>1</v>
      </c>
      <c r="D12" s="5">
        <v>33</v>
      </c>
      <c r="E12" s="1" t="s">
        <v>10</v>
      </c>
      <c r="F12" s="1" t="s">
        <v>11</v>
      </c>
      <c r="G12" s="1" t="s">
        <v>12</v>
      </c>
      <c r="H12" s="1" t="s">
        <v>13</v>
      </c>
      <c r="I12" s="1" t="s">
        <v>6</v>
      </c>
      <c r="J12" s="2">
        <v>71000</v>
      </c>
      <c r="K12" s="5">
        <v>3</v>
      </c>
      <c r="L12" s="8" t="s">
        <v>7</v>
      </c>
      <c r="M12">
        <f>IF(Attrition_table[[#This Row],[Attrition]]="Yes", 1,0)</f>
        <v>1</v>
      </c>
      <c r="N12" t="str">
        <f>IF(Attrition_table[[#This Row],[Age]]&lt;30, "Under 30",IF(Attrition_table[[#This Row],[Age]]&lt;45, "30-44",IF(Attrition_table[[#This Row],[Age]]&lt;50,"45-50","50+")))</f>
        <v>30-44</v>
      </c>
      <c r="O12" t="str">
        <f>IF(Attrition_table[[#This Row],[Salary]]&lt;50000, "Low Salary",IF(Attrition_table[[#This Row],[Salary]]&lt;70000,"Medium Salary",IF(Attrition_table[[#This Row],[Salary]]&gt;=70000,"High Salary")))</f>
        <v>High Salary</v>
      </c>
      <c r="P12" s="19" t="str">
        <f>IF(Attrition_table[[#This Row],[JobSatisfaction]]&lt;=2,"Low",IF(Attrition_table[[#This Row],[JobSatisfaction]]=3,"Medium", "High"))</f>
        <v>Medium</v>
      </c>
    </row>
    <row r="13" spans="1:16">
      <c r="A13" s="7">
        <v>12</v>
      </c>
      <c r="B13" s="1" t="s">
        <v>35</v>
      </c>
      <c r="C13" s="1" t="s">
        <v>1</v>
      </c>
      <c r="D13" s="5">
        <v>44</v>
      </c>
      <c r="E13" s="1" t="s">
        <v>10</v>
      </c>
      <c r="F13" s="1" t="s">
        <v>24</v>
      </c>
      <c r="G13" s="1" t="s">
        <v>25</v>
      </c>
      <c r="H13" s="1" t="s">
        <v>26</v>
      </c>
      <c r="I13" s="1" t="s">
        <v>6</v>
      </c>
      <c r="J13" s="2">
        <v>47000</v>
      </c>
      <c r="K13" s="5">
        <v>2</v>
      </c>
      <c r="L13" s="8" t="s">
        <v>15</v>
      </c>
      <c r="M13">
        <f>IF(Attrition_table[[#This Row],[Attrition]]="Yes", 1,0)</f>
        <v>0</v>
      </c>
      <c r="N13" t="str">
        <f>IF(Attrition_table[[#This Row],[Age]]&lt;30, "Under 30",IF(Attrition_table[[#This Row],[Age]]&lt;45, "30-44",IF(Attrition_table[[#This Row],[Age]]&lt;50,"45-50","50+")))</f>
        <v>30-44</v>
      </c>
      <c r="O13" t="str">
        <f>IF(Attrition_table[[#This Row],[Salary]]&lt;50000, "Low Salary",IF(Attrition_table[[#This Row],[Salary]]&lt;70000,"Medium Salary",IF(Attrition_table[[#This Row],[Salary]]&gt;=70000,"High Salary")))</f>
        <v>Low Salary</v>
      </c>
      <c r="P13" s="19" t="str">
        <f>IF(Attrition_table[[#This Row],[JobSatisfaction]]&lt;=2,"Low",IF(Attrition_table[[#This Row],[JobSatisfaction]]=3,"Medium", "High"))</f>
        <v>Low</v>
      </c>
    </row>
    <row r="14" spans="1:16">
      <c r="A14" s="7">
        <v>13</v>
      </c>
      <c r="B14" s="1" t="s">
        <v>36</v>
      </c>
      <c r="C14" s="1" t="s">
        <v>1</v>
      </c>
      <c r="D14" s="5">
        <v>30</v>
      </c>
      <c r="E14" s="1" t="s">
        <v>2</v>
      </c>
      <c r="F14" s="1" t="s">
        <v>3</v>
      </c>
      <c r="G14" s="1" t="s">
        <v>4</v>
      </c>
      <c r="H14" s="1" t="s">
        <v>5</v>
      </c>
      <c r="I14" s="1" t="s">
        <v>14</v>
      </c>
      <c r="J14" s="2">
        <v>62000</v>
      </c>
      <c r="K14" s="5">
        <v>4</v>
      </c>
      <c r="L14" s="8" t="s">
        <v>15</v>
      </c>
      <c r="M14">
        <f>IF(Attrition_table[[#This Row],[Attrition]]="Yes", 1,0)</f>
        <v>0</v>
      </c>
      <c r="N14" t="str">
        <f>IF(Attrition_table[[#This Row],[Age]]&lt;30, "Under 30",IF(Attrition_table[[#This Row],[Age]]&lt;45, "30-44",IF(Attrition_table[[#This Row],[Age]]&lt;50,"45-50","50+")))</f>
        <v>30-44</v>
      </c>
      <c r="O14" t="str">
        <f>IF(Attrition_table[[#This Row],[Salary]]&lt;50000, "Low Salary",IF(Attrition_table[[#This Row],[Salary]]&lt;70000,"Medium Salary",IF(Attrition_table[[#This Row],[Salary]]&gt;=70000,"High Salary")))</f>
        <v>Medium Salary</v>
      </c>
      <c r="P14" s="19" t="str">
        <f>IF(Attrition_table[[#This Row],[JobSatisfaction]]&lt;=2,"Low",IF(Attrition_table[[#This Row],[JobSatisfaction]]=3,"Medium", "High"))</f>
        <v>High</v>
      </c>
    </row>
    <row r="15" spans="1:16">
      <c r="A15" s="7">
        <v>14</v>
      </c>
      <c r="B15" s="1" t="s">
        <v>37</v>
      </c>
      <c r="C15" s="1" t="s">
        <v>9</v>
      </c>
      <c r="D15" s="5">
        <v>26</v>
      </c>
      <c r="E15" s="1" t="s">
        <v>17</v>
      </c>
      <c r="F15" s="1" t="s">
        <v>28</v>
      </c>
      <c r="G15" s="1" t="s">
        <v>4</v>
      </c>
      <c r="H15" s="1" t="s">
        <v>19</v>
      </c>
      <c r="I15" s="1" t="s">
        <v>14</v>
      </c>
      <c r="J15" s="2">
        <v>54000</v>
      </c>
      <c r="K15" s="5">
        <v>3</v>
      </c>
      <c r="L15" s="8" t="s">
        <v>7</v>
      </c>
      <c r="M15">
        <f>IF(Attrition_table[[#This Row],[Attrition]]="Yes", 1,0)</f>
        <v>1</v>
      </c>
      <c r="N15" t="str">
        <f>IF(Attrition_table[[#This Row],[Age]]&lt;30, "Under 30",IF(Attrition_table[[#This Row],[Age]]&lt;45, "30-44",IF(Attrition_table[[#This Row],[Age]]&lt;50,"45-50","50+")))</f>
        <v>Under 30</v>
      </c>
      <c r="O15" t="str">
        <f>IF(Attrition_table[[#This Row],[Salary]]&lt;50000, "Low Salary",IF(Attrition_table[[#This Row],[Salary]]&lt;70000,"Medium Salary",IF(Attrition_table[[#This Row],[Salary]]&gt;=70000,"High Salary")))</f>
        <v>Medium Salary</v>
      </c>
      <c r="P15" s="19" t="str">
        <f>IF(Attrition_table[[#This Row],[JobSatisfaction]]&lt;=2,"Low",IF(Attrition_table[[#This Row],[JobSatisfaction]]=3,"Medium", "High"))</f>
        <v>Medium</v>
      </c>
    </row>
    <row r="16" spans="1:16">
      <c r="A16" s="7">
        <v>15</v>
      </c>
      <c r="B16" s="1" t="s">
        <v>38</v>
      </c>
      <c r="C16" s="1" t="s">
        <v>9</v>
      </c>
      <c r="D16" s="5">
        <v>39</v>
      </c>
      <c r="E16" s="1" t="s">
        <v>2</v>
      </c>
      <c r="F16" s="1" t="s">
        <v>3</v>
      </c>
      <c r="G16" s="1" t="s">
        <v>12</v>
      </c>
      <c r="H16" s="1" t="s">
        <v>5</v>
      </c>
      <c r="I16" s="1" t="s">
        <v>6</v>
      </c>
      <c r="J16" s="2">
        <v>65000</v>
      </c>
      <c r="K16" s="5">
        <v>2</v>
      </c>
      <c r="L16" s="8" t="s">
        <v>7</v>
      </c>
      <c r="M16">
        <f>IF(Attrition_table[[#This Row],[Attrition]]="Yes", 1,0)</f>
        <v>1</v>
      </c>
      <c r="N16" t="str">
        <f>IF(Attrition_table[[#This Row],[Age]]&lt;30, "Under 30",IF(Attrition_table[[#This Row],[Age]]&lt;45, "30-44",IF(Attrition_table[[#This Row],[Age]]&lt;50,"45-50","50+")))</f>
        <v>30-44</v>
      </c>
      <c r="O16" t="str">
        <f>IF(Attrition_table[[#This Row],[Salary]]&lt;50000, "Low Salary",IF(Attrition_table[[#This Row],[Salary]]&lt;70000,"Medium Salary",IF(Attrition_table[[#This Row],[Salary]]&gt;=70000,"High Salary")))</f>
        <v>Medium Salary</v>
      </c>
      <c r="P16" s="19" t="str">
        <f>IF(Attrition_table[[#This Row],[JobSatisfaction]]&lt;=2,"Low",IF(Attrition_table[[#This Row],[JobSatisfaction]]=3,"Medium", "High"))</f>
        <v>Low</v>
      </c>
    </row>
    <row r="17" spans="1:16">
      <c r="A17" s="7">
        <v>16</v>
      </c>
      <c r="B17" s="1" t="s">
        <v>39</v>
      </c>
      <c r="C17" s="1" t="s">
        <v>1</v>
      </c>
      <c r="D17" s="5">
        <v>35</v>
      </c>
      <c r="E17" s="1" t="s">
        <v>10</v>
      </c>
      <c r="F17" s="1" t="s">
        <v>11</v>
      </c>
      <c r="G17" s="1" t="s">
        <v>12</v>
      </c>
      <c r="H17" s="1" t="s">
        <v>13</v>
      </c>
      <c r="I17" s="1" t="s">
        <v>6</v>
      </c>
      <c r="J17" s="2">
        <v>72000</v>
      </c>
      <c r="K17" s="5">
        <v>4</v>
      </c>
      <c r="L17" s="8" t="s">
        <v>15</v>
      </c>
      <c r="M17">
        <f>IF(Attrition_table[[#This Row],[Attrition]]="Yes", 1,0)</f>
        <v>0</v>
      </c>
      <c r="N17" t="str">
        <f>IF(Attrition_table[[#This Row],[Age]]&lt;30, "Under 30",IF(Attrition_table[[#This Row],[Age]]&lt;45, "30-44",IF(Attrition_table[[#This Row],[Age]]&lt;50,"45-50","50+")))</f>
        <v>30-44</v>
      </c>
      <c r="O17" t="str">
        <f>IF(Attrition_table[[#This Row],[Salary]]&lt;50000, "Low Salary",IF(Attrition_table[[#This Row],[Salary]]&lt;70000,"Medium Salary",IF(Attrition_table[[#This Row],[Salary]]&gt;=70000,"High Salary")))</f>
        <v>High Salary</v>
      </c>
      <c r="P17" s="19" t="str">
        <f>IF(Attrition_table[[#This Row],[JobSatisfaction]]&lt;=2,"Low",IF(Attrition_table[[#This Row],[JobSatisfaction]]=3,"Medium", "High"))</f>
        <v>High</v>
      </c>
    </row>
    <row r="18" spans="1:16">
      <c r="A18" s="7">
        <v>17</v>
      </c>
      <c r="B18" s="1" t="s">
        <v>40</v>
      </c>
      <c r="C18" s="1" t="s">
        <v>1</v>
      </c>
      <c r="D18" s="5">
        <v>32</v>
      </c>
      <c r="E18" s="1" t="s">
        <v>2</v>
      </c>
      <c r="F18" s="1" t="s">
        <v>21</v>
      </c>
      <c r="G18" s="1" t="s">
        <v>4</v>
      </c>
      <c r="H18" s="1" t="s">
        <v>5</v>
      </c>
      <c r="I18" s="1" t="s">
        <v>14</v>
      </c>
      <c r="J18" s="2">
        <v>51000</v>
      </c>
      <c r="K18" s="5">
        <v>3</v>
      </c>
      <c r="L18" s="8" t="s">
        <v>7</v>
      </c>
      <c r="M18">
        <f>IF(Attrition_table[[#This Row],[Attrition]]="Yes", 1,0)</f>
        <v>1</v>
      </c>
      <c r="N18" t="str">
        <f>IF(Attrition_table[[#This Row],[Age]]&lt;30, "Under 30",IF(Attrition_table[[#This Row],[Age]]&lt;45, "30-44",IF(Attrition_table[[#This Row],[Age]]&lt;50,"45-50","50+")))</f>
        <v>30-44</v>
      </c>
      <c r="O18" t="str">
        <f>IF(Attrition_table[[#This Row],[Salary]]&lt;50000, "Low Salary",IF(Attrition_table[[#This Row],[Salary]]&lt;70000,"Medium Salary",IF(Attrition_table[[#This Row],[Salary]]&gt;=70000,"High Salary")))</f>
        <v>Medium Salary</v>
      </c>
      <c r="P18" s="19" t="str">
        <f>IF(Attrition_table[[#This Row],[JobSatisfaction]]&lt;=2,"Low",IF(Attrition_table[[#This Row],[JobSatisfaction]]=3,"Medium", "High"))</f>
        <v>Medium</v>
      </c>
    </row>
    <row r="19" spans="1:16">
      <c r="A19" s="7">
        <v>18</v>
      </c>
      <c r="B19" s="1" t="s">
        <v>41</v>
      </c>
      <c r="C19" s="1" t="s">
        <v>1</v>
      </c>
      <c r="D19" s="5">
        <v>29</v>
      </c>
      <c r="E19" s="1" t="s">
        <v>10</v>
      </c>
      <c r="F19" s="1" t="s">
        <v>24</v>
      </c>
      <c r="G19" s="1" t="s">
        <v>25</v>
      </c>
      <c r="H19" s="1" t="s">
        <v>26</v>
      </c>
      <c r="I19" s="1" t="s">
        <v>14</v>
      </c>
      <c r="J19" s="2">
        <v>46000</v>
      </c>
      <c r="K19" s="5">
        <v>2</v>
      </c>
      <c r="L19" s="8" t="s">
        <v>15</v>
      </c>
      <c r="M19">
        <f>IF(Attrition_table[[#This Row],[Attrition]]="Yes", 1,0)</f>
        <v>0</v>
      </c>
      <c r="N19" t="str">
        <f>IF(Attrition_table[[#This Row],[Age]]&lt;30, "Under 30",IF(Attrition_table[[#This Row],[Age]]&lt;45, "30-44",IF(Attrition_table[[#This Row],[Age]]&lt;50,"45-50","50+")))</f>
        <v>Under 30</v>
      </c>
      <c r="O19" t="str">
        <f>IF(Attrition_table[[#This Row],[Salary]]&lt;50000, "Low Salary",IF(Attrition_table[[#This Row],[Salary]]&lt;70000,"Medium Salary",IF(Attrition_table[[#This Row],[Salary]]&gt;=70000,"High Salary")))</f>
        <v>Low Salary</v>
      </c>
      <c r="P19" s="19" t="str">
        <f>IF(Attrition_table[[#This Row],[JobSatisfaction]]&lt;=2,"Low",IF(Attrition_table[[#This Row],[JobSatisfaction]]=3,"Medium", "High"))</f>
        <v>Low</v>
      </c>
    </row>
    <row r="20" spans="1:16">
      <c r="A20" s="7">
        <v>19</v>
      </c>
      <c r="B20" s="1" t="s">
        <v>42</v>
      </c>
      <c r="C20" s="1" t="s">
        <v>9</v>
      </c>
      <c r="D20" s="5">
        <v>28</v>
      </c>
      <c r="E20" s="1" t="s">
        <v>17</v>
      </c>
      <c r="F20" s="1" t="s">
        <v>28</v>
      </c>
      <c r="G20" s="1" t="s">
        <v>4</v>
      </c>
      <c r="H20" s="1" t="s">
        <v>19</v>
      </c>
      <c r="I20" s="1" t="s">
        <v>14</v>
      </c>
      <c r="J20" s="2">
        <v>56000</v>
      </c>
      <c r="K20" s="5">
        <v>4</v>
      </c>
      <c r="L20" s="8" t="s">
        <v>15</v>
      </c>
      <c r="M20">
        <f>IF(Attrition_table[[#This Row],[Attrition]]="Yes", 1,0)</f>
        <v>0</v>
      </c>
      <c r="N20" t="str">
        <f>IF(Attrition_table[[#This Row],[Age]]&lt;30, "Under 30",IF(Attrition_table[[#This Row],[Age]]&lt;45, "30-44",IF(Attrition_table[[#This Row],[Age]]&lt;50,"45-50","50+")))</f>
        <v>Under 30</v>
      </c>
      <c r="O20" t="str">
        <f>IF(Attrition_table[[#This Row],[Salary]]&lt;50000, "Low Salary",IF(Attrition_table[[#This Row],[Salary]]&lt;70000,"Medium Salary",IF(Attrition_table[[#This Row],[Salary]]&gt;=70000,"High Salary")))</f>
        <v>Medium Salary</v>
      </c>
      <c r="P20" s="19" t="str">
        <f>IF(Attrition_table[[#This Row],[JobSatisfaction]]&lt;=2,"Low",IF(Attrition_table[[#This Row],[JobSatisfaction]]=3,"Medium", "High"))</f>
        <v>High</v>
      </c>
    </row>
    <row r="21" spans="1:16">
      <c r="A21" s="7">
        <v>20</v>
      </c>
      <c r="B21" s="1" t="s">
        <v>43</v>
      </c>
      <c r="C21" s="1" t="s">
        <v>1</v>
      </c>
      <c r="D21" s="5">
        <v>46</v>
      </c>
      <c r="E21" s="1" t="s">
        <v>10</v>
      </c>
      <c r="F21" s="1" t="s">
        <v>11</v>
      </c>
      <c r="G21" s="1" t="s">
        <v>31</v>
      </c>
      <c r="H21" s="1" t="s">
        <v>13</v>
      </c>
      <c r="I21" s="1" t="s">
        <v>6</v>
      </c>
      <c r="J21" s="2">
        <v>88000</v>
      </c>
      <c r="K21" s="5">
        <v>3</v>
      </c>
      <c r="L21" s="8" t="s">
        <v>7</v>
      </c>
      <c r="M21">
        <f>IF(Attrition_table[[#This Row],[Attrition]]="Yes", 1,0)</f>
        <v>1</v>
      </c>
      <c r="N21" t="str">
        <f>IF(Attrition_table[[#This Row],[Age]]&lt;30, "Under 30",IF(Attrition_table[[#This Row],[Age]]&lt;45, "30-44",IF(Attrition_table[[#This Row],[Age]]&lt;50,"45-50","50+")))</f>
        <v>45-50</v>
      </c>
      <c r="O21" t="str">
        <f>IF(Attrition_table[[#This Row],[Salary]]&lt;50000, "Low Salary",IF(Attrition_table[[#This Row],[Salary]]&lt;70000,"Medium Salary",IF(Attrition_table[[#This Row],[Salary]]&gt;=70000,"High Salary")))</f>
        <v>High Salary</v>
      </c>
      <c r="P21" s="19" t="str">
        <f>IF(Attrition_table[[#This Row],[JobSatisfaction]]&lt;=2,"Low",IF(Attrition_table[[#This Row],[JobSatisfaction]]=3,"Medium", "High"))</f>
        <v>Medium</v>
      </c>
    </row>
    <row r="22" spans="1:16">
      <c r="A22" s="7">
        <v>21</v>
      </c>
      <c r="B22" s="1" t="s">
        <v>44</v>
      </c>
      <c r="C22" s="1" t="s">
        <v>1</v>
      </c>
      <c r="D22" s="5">
        <v>37</v>
      </c>
      <c r="E22" s="1" t="s">
        <v>2</v>
      </c>
      <c r="F22" s="1" t="s">
        <v>3</v>
      </c>
      <c r="G22" s="1" t="s">
        <v>4</v>
      </c>
      <c r="H22" s="1" t="s">
        <v>5</v>
      </c>
      <c r="I22" s="1" t="s">
        <v>6</v>
      </c>
      <c r="J22" s="2">
        <v>64000</v>
      </c>
      <c r="K22" s="5">
        <v>2</v>
      </c>
      <c r="L22" s="8" t="s">
        <v>7</v>
      </c>
      <c r="M22">
        <f>IF(Attrition_table[[#This Row],[Attrition]]="Yes", 1,0)</f>
        <v>1</v>
      </c>
      <c r="N22" t="str">
        <f>IF(Attrition_table[[#This Row],[Age]]&lt;30, "Under 30",IF(Attrition_table[[#This Row],[Age]]&lt;45, "30-44",IF(Attrition_table[[#This Row],[Age]]&lt;50,"45-50","50+")))</f>
        <v>30-44</v>
      </c>
      <c r="O22" t="str">
        <f>IF(Attrition_table[[#This Row],[Salary]]&lt;50000, "Low Salary",IF(Attrition_table[[#This Row],[Salary]]&lt;70000,"Medium Salary",IF(Attrition_table[[#This Row],[Salary]]&gt;=70000,"High Salary")))</f>
        <v>Medium Salary</v>
      </c>
      <c r="P22" s="19" t="str">
        <f>IF(Attrition_table[[#This Row],[JobSatisfaction]]&lt;=2,"Low",IF(Attrition_table[[#This Row],[JobSatisfaction]]=3,"Medium", "High"))</f>
        <v>Low</v>
      </c>
    </row>
    <row r="23" spans="1:16">
      <c r="A23" s="7">
        <v>22</v>
      </c>
      <c r="B23" s="1" t="s">
        <v>45</v>
      </c>
      <c r="C23" s="1" t="s">
        <v>9</v>
      </c>
      <c r="D23" s="5">
        <v>34</v>
      </c>
      <c r="E23" s="1" t="s">
        <v>17</v>
      </c>
      <c r="F23" s="1" t="s">
        <v>28</v>
      </c>
      <c r="G23" s="1" t="s">
        <v>4</v>
      </c>
      <c r="H23" s="1" t="s">
        <v>19</v>
      </c>
      <c r="I23" s="1" t="s">
        <v>6</v>
      </c>
      <c r="J23" s="2">
        <v>57000</v>
      </c>
      <c r="K23" s="5">
        <v>3</v>
      </c>
      <c r="L23" s="8" t="s">
        <v>15</v>
      </c>
      <c r="M23">
        <f>IF(Attrition_table[[#This Row],[Attrition]]="Yes", 1,0)</f>
        <v>0</v>
      </c>
      <c r="N23" t="str">
        <f>IF(Attrition_table[[#This Row],[Age]]&lt;30, "Under 30",IF(Attrition_table[[#This Row],[Age]]&lt;45, "30-44",IF(Attrition_table[[#This Row],[Age]]&lt;50,"45-50","50+")))</f>
        <v>30-44</v>
      </c>
      <c r="O23" t="str">
        <f>IF(Attrition_table[[#This Row],[Salary]]&lt;50000, "Low Salary",IF(Attrition_table[[#This Row],[Salary]]&lt;70000,"Medium Salary",IF(Attrition_table[[#This Row],[Salary]]&gt;=70000,"High Salary")))</f>
        <v>Medium Salary</v>
      </c>
      <c r="P23" s="19" t="str">
        <f>IF(Attrition_table[[#This Row],[JobSatisfaction]]&lt;=2,"Low",IF(Attrition_table[[#This Row],[JobSatisfaction]]=3,"Medium", "High"))</f>
        <v>Medium</v>
      </c>
    </row>
    <row r="24" spans="1:16">
      <c r="A24" s="7">
        <v>23</v>
      </c>
      <c r="B24" s="1" t="s">
        <v>46</v>
      </c>
      <c r="C24" s="1" t="s">
        <v>1</v>
      </c>
      <c r="D24" s="5">
        <v>42</v>
      </c>
      <c r="E24" s="1" t="s">
        <v>10</v>
      </c>
      <c r="F24" s="1" t="s">
        <v>24</v>
      </c>
      <c r="G24" s="1" t="s">
        <v>25</v>
      </c>
      <c r="H24" s="1" t="s">
        <v>26</v>
      </c>
      <c r="I24" s="1" t="s">
        <v>6</v>
      </c>
      <c r="J24" s="2">
        <v>49000</v>
      </c>
      <c r="K24" s="5">
        <v>2</v>
      </c>
      <c r="L24" s="8" t="s">
        <v>7</v>
      </c>
      <c r="M24">
        <f>IF(Attrition_table[[#This Row],[Attrition]]="Yes", 1,0)</f>
        <v>1</v>
      </c>
      <c r="N24" t="str">
        <f>IF(Attrition_table[[#This Row],[Age]]&lt;30, "Under 30",IF(Attrition_table[[#This Row],[Age]]&lt;45, "30-44",IF(Attrition_table[[#This Row],[Age]]&lt;50,"45-50","50+")))</f>
        <v>30-44</v>
      </c>
      <c r="O24" t="str">
        <f>IF(Attrition_table[[#This Row],[Salary]]&lt;50000, "Low Salary",IF(Attrition_table[[#This Row],[Salary]]&lt;70000,"Medium Salary",IF(Attrition_table[[#This Row],[Salary]]&gt;=70000,"High Salary")))</f>
        <v>Low Salary</v>
      </c>
      <c r="P24" s="19" t="str">
        <f>IF(Attrition_table[[#This Row],[JobSatisfaction]]&lt;=2,"Low",IF(Attrition_table[[#This Row],[JobSatisfaction]]=3,"Medium", "High"))</f>
        <v>Low</v>
      </c>
    </row>
    <row r="25" spans="1:16">
      <c r="A25" s="7">
        <v>24</v>
      </c>
      <c r="B25" s="1" t="s">
        <v>47</v>
      </c>
      <c r="C25" s="1" t="s">
        <v>9</v>
      </c>
      <c r="D25" s="5">
        <v>31</v>
      </c>
      <c r="E25" s="1" t="s">
        <v>2</v>
      </c>
      <c r="F25" s="1" t="s">
        <v>21</v>
      </c>
      <c r="G25" s="1" t="s">
        <v>4</v>
      </c>
      <c r="H25" s="1" t="s">
        <v>5</v>
      </c>
      <c r="I25" s="1" t="s">
        <v>14</v>
      </c>
      <c r="J25" s="2">
        <v>53000</v>
      </c>
      <c r="K25" s="5">
        <v>4</v>
      </c>
      <c r="L25" s="8" t="s">
        <v>15</v>
      </c>
      <c r="M25">
        <f>IF(Attrition_table[[#This Row],[Attrition]]="Yes", 1,0)</f>
        <v>0</v>
      </c>
      <c r="N25" t="str">
        <f>IF(Attrition_table[[#This Row],[Age]]&lt;30, "Under 30",IF(Attrition_table[[#This Row],[Age]]&lt;45, "30-44",IF(Attrition_table[[#This Row],[Age]]&lt;50,"45-50","50+")))</f>
        <v>30-44</v>
      </c>
      <c r="O25" t="str">
        <f>IF(Attrition_table[[#This Row],[Salary]]&lt;50000, "Low Salary",IF(Attrition_table[[#This Row],[Salary]]&lt;70000,"Medium Salary",IF(Attrition_table[[#This Row],[Salary]]&gt;=70000,"High Salary")))</f>
        <v>Medium Salary</v>
      </c>
      <c r="P25" s="19" t="str">
        <f>IF(Attrition_table[[#This Row],[JobSatisfaction]]&lt;=2,"Low",IF(Attrition_table[[#This Row],[JobSatisfaction]]=3,"Medium", "High"))</f>
        <v>High</v>
      </c>
    </row>
    <row r="26" spans="1:16">
      <c r="A26" s="7">
        <v>25</v>
      </c>
      <c r="B26" s="1" t="s">
        <v>48</v>
      </c>
      <c r="C26" s="1" t="s">
        <v>1</v>
      </c>
      <c r="D26" s="5">
        <v>36</v>
      </c>
      <c r="E26" s="1" t="s">
        <v>2</v>
      </c>
      <c r="F26" s="1" t="s">
        <v>3</v>
      </c>
      <c r="G26" s="1" t="s">
        <v>12</v>
      </c>
      <c r="H26" s="1" t="s">
        <v>5</v>
      </c>
      <c r="I26" s="1" t="s">
        <v>6</v>
      </c>
      <c r="J26" s="2">
        <v>66000</v>
      </c>
      <c r="K26" s="5">
        <v>3</v>
      </c>
      <c r="L26" s="8" t="s">
        <v>7</v>
      </c>
      <c r="M26">
        <f>IF(Attrition_table[[#This Row],[Attrition]]="Yes", 1,0)</f>
        <v>1</v>
      </c>
      <c r="N26" t="str">
        <f>IF(Attrition_table[[#This Row],[Age]]&lt;30, "Under 30",IF(Attrition_table[[#This Row],[Age]]&lt;45, "30-44",IF(Attrition_table[[#This Row],[Age]]&lt;50,"45-50","50+")))</f>
        <v>30-44</v>
      </c>
      <c r="O26" t="str">
        <f>IF(Attrition_table[[#This Row],[Salary]]&lt;50000, "Low Salary",IF(Attrition_table[[#This Row],[Salary]]&lt;70000,"Medium Salary",IF(Attrition_table[[#This Row],[Salary]]&gt;=70000,"High Salary")))</f>
        <v>Medium Salary</v>
      </c>
      <c r="P26" s="19" t="str">
        <f>IF(Attrition_table[[#This Row],[JobSatisfaction]]&lt;=2,"Low",IF(Attrition_table[[#This Row],[JobSatisfaction]]=3,"Medium", "High"))</f>
        <v>Medium</v>
      </c>
    </row>
    <row r="27" spans="1:16">
      <c r="A27" s="7">
        <v>26</v>
      </c>
      <c r="B27" s="1" t="s">
        <v>49</v>
      </c>
      <c r="C27" s="1" t="s">
        <v>9</v>
      </c>
      <c r="D27" s="5">
        <v>27</v>
      </c>
      <c r="E27" s="1" t="s">
        <v>17</v>
      </c>
      <c r="F27" s="1" t="s">
        <v>28</v>
      </c>
      <c r="G27" s="1" t="s">
        <v>4</v>
      </c>
      <c r="H27" s="1" t="s">
        <v>19</v>
      </c>
      <c r="I27" s="1" t="s">
        <v>14</v>
      </c>
      <c r="J27" s="2">
        <v>55000</v>
      </c>
      <c r="K27" s="5">
        <v>4</v>
      </c>
      <c r="L27" s="8" t="s">
        <v>15</v>
      </c>
      <c r="M27">
        <f>IF(Attrition_table[[#This Row],[Attrition]]="Yes", 1,0)</f>
        <v>0</v>
      </c>
      <c r="N27" t="str">
        <f>IF(Attrition_table[[#This Row],[Age]]&lt;30, "Under 30",IF(Attrition_table[[#This Row],[Age]]&lt;45, "30-44",IF(Attrition_table[[#This Row],[Age]]&lt;50,"45-50","50+")))</f>
        <v>Under 30</v>
      </c>
      <c r="O27" t="str">
        <f>IF(Attrition_table[[#This Row],[Salary]]&lt;50000, "Low Salary",IF(Attrition_table[[#This Row],[Salary]]&lt;70000,"Medium Salary",IF(Attrition_table[[#This Row],[Salary]]&gt;=70000,"High Salary")))</f>
        <v>Medium Salary</v>
      </c>
      <c r="P27" s="19" t="str">
        <f>IF(Attrition_table[[#This Row],[JobSatisfaction]]&lt;=2,"Low",IF(Attrition_table[[#This Row],[JobSatisfaction]]=3,"Medium", "High"))</f>
        <v>High</v>
      </c>
    </row>
    <row r="28" spans="1:16">
      <c r="A28" s="7">
        <v>27</v>
      </c>
      <c r="B28" s="1" t="s">
        <v>50</v>
      </c>
      <c r="C28" s="1" t="s">
        <v>1</v>
      </c>
      <c r="D28" s="5">
        <v>40</v>
      </c>
      <c r="E28" s="1" t="s">
        <v>10</v>
      </c>
      <c r="F28" s="1" t="s">
        <v>11</v>
      </c>
      <c r="G28" s="1" t="s">
        <v>12</v>
      </c>
      <c r="H28" s="1" t="s">
        <v>13</v>
      </c>
      <c r="I28" s="1" t="s">
        <v>6</v>
      </c>
      <c r="J28" s="2">
        <v>73000</v>
      </c>
      <c r="K28" s="5">
        <v>2</v>
      </c>
      <c r="L28" s="8" t="s">
        <v>7</v>
      </c>
      <c r="M28">
        <f>IF(Attrition_table[[#This Row],[Attrition]]="Yes", 1,0)</f>
        <v>1</v>
      </c>
      <c r="N28" t="str">
        <f>IF(Attrition_table[[#This Row],[Age]]&lt;30, "Under 30",IF(Attrition_table[[#This Row],[Age]]&lt;45, "30-44",IF(Attrition_table[[#This Row],[Age]]&lt;50,"45-50","50+")))</f>
        <v>30-44</v>
      </c>
      <c r="O28" t="str">
        <f>IF(Attrition_table[[#This Row],[Salary]]&lt;50000, "Low Salary",IF(Attrition_table[[#This Row],[Salary]]&lt;70000,"Medium Salary",IF(Attrition_table[[#This Row],[Salary]]&gt;=70000,"High Salary")))</f>
        <v>High Salary</v>
      </c>
      <c r="P28" s="19" t="str">
        <f>IF(Attrition_table[[#This Row],[JobSatisfaction]]&lt;=2,"Low",IF(Attrition_table[[#This Row],[JobSatisfaction]]=3,"Medium", "High"))</f>
        <v>Low</v>
      </c>
    </row>
    <row r="29" spans="1:16">
      <c r="A29" s="7">
        <v>28</v>
      </c>
      <c r="B29" s="1" t="s">
        <v>51</v>
      </c>
      <c r="C29" s="1" t="s">
        <v>9</v>
      </c>
      <c r="D29" s="5">
        <v>33</v>
      </c>
      <c r="E29" s="1" t="s">
        <v>2</v>
      </c>
      <c r="F29" s="1" t="s">
        <v>3</v>
      </c>
      <c r="G29" s="1" t="s">
        <v>4</v>
      </c>
      <c r="H29" s="1" t="s">
        <v>5</v>
      </c>
      <c r="I29" s="1" t="s">
        <v>6</v>
      </c>
      <c r="J29" s="2">
        <v>61000</v>
      </c>
      <c r="K29" s="5">
        <v>3</v>
      </c>
      <c r="L29" s="8" t="s">
        <v>15</v>
      </c>
      <c r="M29">
        <f>IF(Attrition_table[[#This Row],[Attrition]]="Yes", 1,0)</f>
        <v>0</v>
      </c>
      <c r="N29" t="str">
        <f>IF(Attrition_table[[#This Row],[Age]]&lt;30, "Under 30",IF(Attrition_table[[#This Row],[Age]]&lt;45, "30-44",IF(Attrition_table[[#This Row],[Age]]&lt;50,"45-50","50+")))</f>
        <v>30-44</v>
      </c>
      <c r="O29" t="str">
        <f>IF(Attrition_table[[#This Row],[Salary]]&lt;50000, "Low Salary",IF(Attrition_table[[#This Row],[Salary]]&lt;70000,"Medium Salary",IF(Attrition_table[[#This Row],[Salary]]&gt;=70000,"High Salary")))</f>
        <v>Medium Salary</v>
      </c>
      <c r="P29" s="19" t="str">
        <f>IF(Attrition_table[[#This Row],[JobSatisfaction]]&lt;=2,"Low",IF(Attrition_table[[#This Row],[JobSatisfaction]]=3,"Medium", "High"))</f>
        <v>Medium</v>
      </c>
    </row>
    <row r="30" spans="1:16">
      <c r="A30" s="7">
        <v>29</v>
      </c>
      <c r="B30" s="1" t="s">
        <v>52</v>
      </c>
      <c r="C30" s="1" t="s">
        <v>1</v>
      </c>
      <c r="D30" s="5">
        <v>45</v>
      </c>
      <c r="E30" s="1" t="s">
        <v>10</v>
      </c>
      <c r="F30" s="1" t="s">
        <v>24</v>
      </c>
      <c r="G30" s="1" t="s">
        <v>25</v>
      </c>
      <c r="H30" s="1" t="s">
        <v>26</v>
      </c>
      <c r="I30" s="1" t="s">
        <v>6</v>
      </c>
      <c r="J30" s="2">
        <v>47000</v>
      </c>
      <c r="K30" s="5">
        <v>2</v>
      </c>
      <c r="L30" s="8" t="s">
        <v>7</v>
      </c>
      <c r="M30">
        <f>IF(Attrition_table[[#This Row],[Attrition]]="Yes", 1,0)</f>
        <v>1</v>
      </c>
      <c r="N30" t="str">
        <f>IF(Attrition_table[[#This Row],[Age]]&lt;30, "Under 30",IF(Attrition_table[[#This Row],[Age]]&lt;45, "30-44",IF(Attrition_table[[#This Row],[Age]]&lt;50,"45-50","50+")))</f>
        <v>45-50</v>
      </c>
      <c r="O30" t="str">
        <f>IF(Attrition_table[[#This Row],[Salary]]&lt;50000, "Low Salary",IF(Attrition_table[[#This Row],[Salary]]&lt;70000,"Medium Salary",IF(Attrition_table[[#This Row],[Salary]]&gt;=70000,"High Salary")))</f>
        <v>Low Salary</v>
      </c>
      <c r="P30" s="19" t="str">
        <f>IF(Attrition_table[[#This Row],[JobSatisfaction]]&lt;=2,"Low",IF(Attrition_table[[#This Row],[JobSatisfaction]]=3,"Medium", "High"))</f>
        <v>Low</v>
      </c>
    </row>
    <row r="31" spans="1:16">
      <c r="A31" s="7">
        <v>30</v>
      </c>
      <c r="B31" s="1" t="s">
        <v>53</v>
      </c>
      <c r="C31" s="1" t="s">
        <v>1</v>
      </c>
      <c r="D31" s="5">
        <v>38</v>
      </c>
      <c r="E31" s="1" t="s">
        <v>17</v>
      </c>
      <c r="F31" s="1" t="s">
        <v>18</v>
      </c>
      <c r="G31" s="1" t="s">
        <v>12</v>
      </c>
      <c r="H31" s="1" t="s">
        <v>19</v>
      </c>
      <c r="I31" s="1" t="s">
        <v>6</v>
      </c>
      <c r="J31" s="2">
        <v>70000</v>
      </c>
      <c r="K31" s="5">
        <v>3</v>
      </c>
      <c r="L31" s="8" t="s">
        <v>15</v>
      </c>
      <c r="M31">
        <f>IF(Attrition_table[[#This Row],[Attrition]]="Yes", 1,0)</f>
        <v>0</v>
      </c>
      <c r="N31" t="str">
        <f>IF(Attrition_table[[#This Row],[Age]]&lt;30, "Under 30",IF(Attrition_table[[#This Row],[Age]]&lt;45, "30-44",IF(Attrition_table[[#This Row],[Age]]&lt;50,"45-50","50+")))</f>
        <v>30-44</v>
      </c>
      <c r="O31" t="str">
        <f>IF(Attrition_table[[#This Row],[Salary]]&lt;50000, "Low Salary",IF(Attrition_table[[#This Row],[Salary]]&lt;70000,"Medium Salary",IF(Attrition_table[[#This Row],[Salary]]&gt;=70000,"High Salary")))</f>
        <v>High Salary</v>
      </c>
      <c r="P31" s="19" t="str">
        <f>IF(Attrition_table[[#This Row],[JobSatisfaction]]&lt;=2,"Low",IF(Attrition_table[[#This Row],[JobSatisfaction]]=3,"Medium", "High"))</f>
        <v>Medium</v>
      </c>
    </row>
    <row r="32" spans="1:16">
      <c r="A32" s="7">
        <v>31</v>
      </c>
      <c r="B32" s="1" t="s">
        <v>54</v>
      </c>
      <c r="C32" s="1" t="s">
        <v>1</v>
      </c>
      <c r="D32" s="5">
        <v>29</v>
      </c>
      <c r="E32" s="1" t="s">
        <v>2</v>
      </c>
      <c r="F32" s="1" t="s">
        <v>3</v>
      </c>
      <c r="G32" s="1" t="s">
        <v>4</v>
      </c>
      <c r="H32" s="1" t="s">
        <v>5</v>
      </c>
      <c r="I32" s="1" t="s">
        <v>14</v>
      </c>
      <c r="J32" s="2">
        <v>59000</v>
      </c>
      <c r="K32" s="5">
        <v>3</v>
      </c>
      <c r="L32" s="8" t="s">
        <v>7</v>
      </c>
      <c r="M32">
        <f>IF(Attrition_table[[#This Row],[Attrition]]="Yes", 1,0)</f>
        <v>1</v>
      </c>
      <c r="N32" t="str">
        <f>IF(Attrition_table[[#This Row],[Age]]&lt;30, "Under 30",IF(Attrition_table[[#This Row],[Age]]&lt;45, "30-44",IF(Attrition_table[[#This Row],[Age]]&lt;50,"45-50","50+")))</f>
        <v>Under 30</v>
      </c>
      <c r="O32" t="str">
        <f>IF(Attrition_table[[#This Row],[Salary]]&lt;50000, "Low Salary",IF(Attrition_table[[#This Row],[Salary]]&lt;70000,"Medium Salary",IF(Attrition_table[[#This Row],[Salary]]&gt;=70000,"High Salary")))</f>
        <v>Medium Salary</v>
      </c>
      <c r="P32" s="19" t="str">
        <f>IF(Attrition_table[[#This Row],[JobSatisfaction]]&lt;=2,"Low",IF(Attrition_table[[#This Row],[JobSatisfaction]]=3,"Medium", "High"))</f>
        <v>Medium</v>
      </c>
    </row>
    <row r="33" spans="1:16">
      <c r="A33" s="7">
        <v>32</v>
      </c>
      <c r="B33" s="1" t="s">
        <v>55</v>
      </c>
      <c r="C33" s="1" t="s">
        <v>9</v>
      </c>
      <c r="D33" s="5">
        <v>35</v>
      </c>
      <c r="E33" s="1" t="s">
        <v>10</v>
      </c>
      <c r="F33" s="1" t="s">
        <v>11</v>
      </c>
      <c r="G33" s="1" t="s">
        <v>12</v>
      </c>
      <c r="H33" s="1" t="s">
        <v>13</v>
      </c>
      <c r="I33" s="1" t="s">
        <v>6</v>
      </c>
      <c r="J33" s="2">
        <v>75000</v>
      </c>
      <c r="K33" s="5">
        <v>4</v>
      </c>
      <c r="L33" s="8" t="s">
        <v>15</v>
      </c>
      <c r="M33">
        <f>IF(Attrition_table[[#This Row],[Attrition]]="Yes", 1,0)</f>
        <v>0</v>
      </c>
      <c r="N33" t="str">
        <f>IF(Attrition_table[[#This Row],[Age]]&lt;30, "Under 30",IF(Attrition_table[[#This Row],[Age]]&lt;45, "30-44",IF(Attrition_table[[#This Row],[Age]]&lt;50,"45-50","50+")))</f>
        <v>30-44</v>
      </c>
      <c r="O33" t="str">
        <f>IF(Attrition_table[[#This Row],[Salary]]&lt;50000, "Low Salary",IF(Attrition_table[[#This Row],[Salary]]&lt;70000,"Medium Salary",IF(Attrition_table[[#This Row],[Salary]]&gt;=70000,"High Salary")))</f>
        <v>High Salary</v>
      </c>
      <c r="P33" s="19" t="str">
        <f>IF(Attrition_table[[#This Row],[JobSatisfaction]]&lt;=2,"Low",IF(Attrition_table[[#This Row],[JobSatisfaction]]=3,"Medium", "High"))</f>
        <v>High</v>
      </c>
    </row>
    <row r="34" spans="1:16">
      <c r="A34" s="7">
        <v>33</v>
      </c>
      <c r="B34" s="1" t="s">
        <v>56</v>
      </c>
      <c r="C34" s="1" t="s">
        <v>1</v>
      </c>
      <c r="D34" s="5">
        <v>41</v>
      </c>
      <c r="E34" s="1" t="s">
        <v>2</v>
      </c>
      <c r="F34" s="1" t="s">
        <v>3</v>
      </c>
      <c r="G34" s="1" t="s">
        <v>12</v>
      </c>
      <c r="H34" s="1" t="s">
        <v>5</v>
      </c>
      <c r="I34" s="1" t="s">
        <v>6</v>
      </c>
      <c r="J34" s="2">
        <v>67000</v>
      </c>
      <c r="K34" s="5">
        <v>2</v>
      </c>
      <c r="L34" s="8" t="s">
        <v>7</v>
      </c>
      <c r="M34">
        <f>IF(Attrition_table[[#This Row],[Attrition]]="Yes", 1,0)</f>
        <v>1</v>
      </c>
      <c r="N34" t="str">
        <f>IF(Attrition_table[[#This Row],[Age]]&lt;30, "Under 30",IF(Attrition_table[[#This Row],[Age]]&lt;45, "30-44",IF(Attrition_table[[#This Row],[Age]]&lt;50,"45-50","50+")))</f>
        <v>30-44</v>
      </c>
      <c r="O34" t="str">
        <f>IF(Attrition_table[[#This Row],[Salary]]&lt;50000, "Low Salary",IF(Attrition_table[[#This Row],[Salary]]&lt;70000,"Medium Salary",IF(Attrition_table[[#This Row],[Salary]]&gt;=70000,"High Salary")))</f>
        <v>Medium Salary</v>
      </c>
      <c r="P34" s="19" t="str">
        <f>IF(Attrition_table[[#This Row],[JobSatisfaction]]&lt;=2,"Low",IF(Attrition_table[[#This Row],[JobSatisfaction]]=3,"Medium", "High"))</f>
        <v>Low</v>
      </c>
    </row>
    <row r="35" spans="1:16">
      <c r="A35" s="7">
        <v>34</v>
      </c>
      <c r="B35" s="1" t="s">
        <v>57</v>
      </c>
      <c r="C35" s="1" t="s">
        <v>9</v>
      </c>
      <c r="D35" s="5">
        <v>30</v>
      </c>
      <c r="E35" s="1" t="s">
        <v>17</v>
      </c>
      <c r="F35" s="1" t="s">
        <v>28</v>
      </c>
      <c r="G35" s="1" t="s">
        <v>4</v>
      </c>
      <c r="H35" s="1" t="s">
        <v>19</v>
      </c>
      <c r="I35" s="1" t="s">
        <v>14</v>
      </c>
      <c r="J35" s="2">
        <v>56000</v>
      </c>
      <c r="K35" s="5">
        <v>3</v>
      </c>
      <c r="L35" s="8" t="s">
        <v>15</v>
      </c>
      <c r="M35">
        <f>IF(Attrition_table[[#This Row],[Attrition]]="Yes", 1,0)</f>
        <v>0</v>
      </c>
      <c r="N35" t="str">
        <f>IF(Attrition_table[[#This Row],[Age]]&lt;30, "Under 30",IF(Attrition_table[[#This Row],[Age]]&lt;45, "30-44",IF(Attrition_table[[#This Row],[Age]]&lt;50,"45-50","50+")))</f>
        <v>30-44</v>
      </c>
      <c r="O35" t="str">
        <f>IF(Attrition_table[[#This Row],[Salary]]&lt;50000, "Low Salary",IF(Attrition_table[[#This Row],[Salary]]&lt;70000,"Medium Salary",IF(Attrition_table[[#This Row],[Salary]]&gt;=70000,"High Salary")))</f>
        <v>Medium Salary</v>
      </c>
      <c r="P35" s="19" t="str">
        <f>IF(Attrition_table[[#This Row],[JobSatisfaction]]&lt;=2,"Low",IF(Attrition_table[[#This Row],[JobSatisfaction]]=3,"Medium", "High"))</f>
        <v>Medium</v>
      </c>
    </row>
    <row r="36" spans="1:16">
      <c r="A36" s="7">
        <v>35</v>
      </c>
      <c r="B36" s="1" t="s">
        <v>58</v>
      </c>
      <c r="C36" s="1" t="s">
        <v>1</v>
      </c>
      <c r="D36" s="5">
        <v>48</v>
      </c>
      <c r="E36" s="1" t="s">
        <v>10</v>
      </c>
      <c r="F36" s="1" t="s">
        <v>11</v>
      </c>
      <c r="G36" s="1" t="s">
        <v>31</v>
      </c>
      <c r="H36" s="1" t="s">
        <v>13</v>
      </c>
      <c r="I36" s="1" t="s">
        <v>6</v>
      </c>
      <c r="J36" s="2">
        <v>92000</v>
      </c>
      <c r="K36" s="5">
        <v>4</v>
      </c>
      <c r="L36" s="8" t="s">
        <v>15</v>
      </c>
      <c r="M36">
        <f>IF(Attrition_table[[#This Row],[Attrition]]="Yes", 1,0)</f>
        <v>0</v>
      </c>
      <c r="N36" t="str">
        <f>IF(Attrition_table[[#This Row],[Age]]&lt;30, "Under 30",IF(Attrition_table[[#This Row],[Age]]&lt;45, "30-44",IF(Attrition_table[[#This Row],[Age]]&lt;50,"45-50","50+")))</f>
        <v>45-50</v>
      </c>
      <c r="O36" t="str">
        <f>IF(Attrition_table[[#This Row],[Salary]]&lt;50000, "Low Salary",IF(Attrition_table[[#This Row],[Salary]]&lt;70000,"Medium Salary",IF(Attrition_table[[#This Row],[Salary]]&gt;=70000,"High Salary")))</f>
        <v>High Salary</v>
      </c>
      <c r="P36" s="19" t="str">
        <f>IF(Attrition_table[[#This Row],[JobSatisfaction]]&lt;=2,"Low",IF(Attrition_table[[#This Row],[JobSatisfaction]]=3,"Medium", "High"))</f>
        <v>High</v>
      </c>
    </row>
    <row r="37" spans="1:16">
      <c r="A37" s="7">
        <v>36</v>
      </c>
      <c r="B37" s="1" t="s">
        <v>59</v>
      </c>
      <c r="C37" s="1" t="s">
        <v>9</v>
      </c>
      <c r="D37" s="5">
        <v>26</v>
      </c>
      <c r="E37" s="1" t="s">
        <v>2</v>
      </c>
      <c r="F37" s="1" t="s">
        <v>21</v>
      </c>
      <c r="G37" s="1" t="s">
        <v>4</v>
      </c>
      <c r="H37" s="1" t="s">
        <v>5</v>
      </c>
      <c r="I37" s="1" t="s">
        <v>14</v>
      </c>
      <c r="J37" s="2">
        <v>52000</v>
      </c>
      <c r="K37" s="5">
        <v>3</v>
      </c>
      <c r="L37" s="8" t="s">
        <v>7</v>
      </c>
      <c r="M37">
        <f>IF(Attrition_table[[#This Row],[Attrition]]="Yes", 1,0)</f>
        <v>1</v>
      </c>
      <c r="N37" t="str">
        <f>IF(Attrition_table[[#This Row],[Age]]&lt;30, "Under 30",IF(Attrition_table[[#This Row],[Age]]&lt;45, "30-44",IF(Attrition_table[[#This Row],[Age]]&lt;50,"45-50","50+")))</f>
        <v>Under 30</v>
      </c>
      <c r="O37" t="str">
        <f>IF(Attrition_table[[#This Row],[Salary]]&lt;50000, "Low Salary",IF(Attrition_table[[#This Row],[Salary]]&lt;70000,"Medium Salary",IF(Attrition_table[[#This Row],[Salary]]&gt;=70000,"High Salary")))</f>
        <v>Medium Salary</v>
      </c>
      <c r="P37" s="19" t="str">
        <f>IF(Attrition_table[[#This Row],[JobSatisfaction]]&lt;=2,"Low",IF(Attrition_table[[#This Row],[JobSatisfaction]]=3,"Medium", "High"))</f>
        <v>Medium</v>
      </c>
    </row>
    <row r="38" spans="1:16">
      <c r="A38" s="7">
        <v>37</v>
      </c>
      <c r="B38" s="1" t="s">
        <v>60</v>
      </c>
      <c r="C38" s="1" t="s">
        <v>1</v>
      </c>
      <c r="D38" s="5">
        <v>39</v>
      </c>
      <c r="E38" s="1" t="s">
        <v>10</v>
      </c>
      <c r="F38" s="1" t="s">
        <v>24</v>
      </c>
      <c r="G38" s="1" t="s">
        <v>25</v>
      </c>
      <c r="H38" s="1" t="s">
        <v>26</v>
      </c>
      <c r="I38" s="1" t="s">
        <v>6</v>
      </c>
      <c r="J38" s="2">
        <v>48000</v>
      </c>
      <c r="K38" s="5">
        <v>2</v>
      </c>
      <c r="L38" s="8" t="s">
        <v>7</v>
      </c>
      <c r="M38">
        <f>IF(Attrition_table[[#This Row],[Attrition]]="Yes", 1,0)</f>
        <v>1</v>
      </c>
      <c r="N38" t="str">
        <f>IF(Attrition_table[[#This Row],[Age]]&lt;30, "Under 30",IF(Attrition_table[[#This Row],[Age]]&lt;45, "30-44",IF(Attrition_table[[#This Row],[Age]]&lt;50,"45-50","50+")))</f>
        <v>30-44</v>
      </c>
      <c r="O38" t="str">
        <f>IF(Attrition_table[[#This Row],[Salary]]&lt;50000, "Low Salary",IF(Attrition_table[[#This Row],[Salary]]&lt;70000,"Medium Salary",IF(Attrition_table[[#This Row],[Salary]]&gt;=70000,"High Salary")))</f>
        <v>Low Salary</v>
      </c>
      <c r="P38" s="19" t="str">
        <f>IF(Attrition_table[[#This Row],[JobSatisfaction]]&lt;=2,"Low",IF(Attrition_table[[#This Row],[JobSatisfaction]]=3,"Medium", "High"))</f>
        <v>Low</v>
      </c>
    </row>
    <row r="39" spans="1:16">
      <c r="A39" s="7">
        <v>38</v>
      </c>
      <c r="B39" s="1" t="s">
        <v>61</v>
      </c>
      <c r="C39" s="1" t="s">
        <v>1</v>
      </c>
      <c r="D39" s="5">
        <v>34</v>
      </c>
      <c r="E39" s="1" t="s">
        <v>2</v>
      </c>
      <c r="F39" s="1" t="s">
        <v>3</v>
      </c>
      <c r="G39" s="1" t="s">
        <v>4</v>
      </c>
      <c r="H39" s="1" t="s">
        <v>5</v>
      </c>
      <c r="I39" s="1" t="s">
        <v>6</v>
      </c>
      <c r="J39" s="2">
        <v>61000</v>
      </c>
      <c r="K39" s="5">
        <v>3</v>
      </c>
      <c r="L39" s="8" t="s">
        <v>15</v>
      </c>
      <c r="M39">
        <f>IF(Attrition_table[[#This Row],[Attrition]]="Yes", 1,0)</f>
        <v>0</v>
      </c>
      <c r="N39" t="str">
        <f>IF(Attrition_table[[#This Row],[Age]]&lt;30, "Under 30",IF(Attrition_table[[#This Row],[Age]]&lt;45, "30-44",IF(Attrition_table[[#This Row],[Age]]&lt;50,"45-50","50+")))</f>
        <v>30-44</v>
      </c>
      <c r="O39" t="str">
        <f>IF(Attrition_table[[#This Row],[Salary]]&lt;50000, "Low Salary",IF(Attrition_table[[#This Row],[Salary]]&lt;70000,"Medium Salary",IF(Attrition_table[[#This Row],[Salary]]&gt;=70000,"High Salary")))</f>
        <v>Medium Salary</v>
      </c>
      <c r="P39" s="19" t="str">
        <f>IF(Attrition_table[[#This Row],[JobSatisfaction]]&lt;=2,"Low",IF(Attrition_table[[#This Row],[JobSatisfaction]]=3,"Medium", "High"))</f>
        <v>Medium</v>
      </c>
    </row>
    <row r="40" spans="1:16">
      <c r="A40" s="7">
        <v>39</v>
      </c>
      <c r="B40" s="1" t="s">
        <v>62</v>
      </c>
      <c r="C40" s="1" t="s">
        <v>9</v>
      </c>
      <c r="D40" s="5">
        <v>32</v>
      </c>
      <c r="E40" s="1" t="s">
        <v>17</v>
      </c>
      <c r="F40" s="1" t="s">
        <v>28</v>
      </c>
      <c r="G40" s="1" t="s">
        <v>4</v>
      </c>
      <c r="H40" s="1" t="s">
        <v>19</v>
      </c>
      <c r="I40" s="1" t="s">
        <v>6</v>
      </c>
      <c r="J40" s="2">
        <v>58000</v>
      </c>
      <c r="K40" s="5">
        <v>4</v>
      </c>
      <c r="L40" s="8" t="s">
        <v>15</v>
      </c>
      <c r="M40">
        <f>IF(Attrition_table[[#This Row],[Attrition]]="Yes", 1,0)</f>
        <v>0</v>
      </c>
      <c r="N40" t="str">
        <f>IF(Attrition_table[[#This Row],[Age]]&lt;30, "Under 30",IF(Attrition_table[[#This Row],[Age]]&lt;45, "30-44",IF(Attrition_table[[#This Row],[Age]]&lt;50,"45-50","50+")))</f>
        <v>30-44</v>
      </c>
      <c r="O40" t="str">
        <f>IF(Attrition_table[[#This Row],[Salary]]&lt;50000, "Low Salary",IF(Attrition_table[[#This Row],[Salary]]&lt;70000,"Medium Salary",IF(Attrition_table[[#This Row],[Salary]]&gt;=70000,"High Salary")))</f>
        <v>Medium Salary</v>
      </c>
      <c r="P40" s="19" t="str">
        <f>IF(Attrition_table[[#This Row],[JobSatisfaction]]&lt;=2,"Low",IF(Attrition_table[[#This Row],[JobSatisfaction]]=3,"Medium", "High"))</f>
        <v>High</v>
      </c>
    </row>
    <row r="41" spans="1:16">
      <c r="A41" s="9">
        <v>40</v>
      </c>
      <c r="B41" s="10" t="s">
        <v>63</v>
      </c>
      <c r="C41" s="10" t="s">
        <v>1</v>
      </c>
      <c r="D41" s="11">
        <v>37</v>
      </c>
      <c r="E41" s="10" t="s">
        <v>10</v>
      </c>
      <c r="F41" s="10" t="s">
        <v>11</v>
      </c>
      <c r="G41" s="10" t="s">
        <v>12</v>
      </c>
      <c r="H41" s="10" t="s">
        <v>13</v>
      </c>
      <c r="I41" s="10" t="s">
        <v>6</v>
      </c>
      <c r="J41" s="12">
        <v>76000</v>
      </c>
      <c r="K41" s="11">
        <v>3</v>
      </c>
      <c r="L41" s="13" t="s">
        <v>7</v>
      </c>
      <c r="M41">
        <f>IF(Attrition_table[[#This Row],[Attrition]]="Yes", 1,0)</f>
        <v>1</v>
      </c>
      <c r="N41" t="str">
        <f>IF(Attrition_table[[#This Row],[Age]]&lt;30, "Under 30",IF(Attrition_table[[#This Row],[Age]]&lt;45, "30-44",IF(Attrition_table[[#This Row],[Age]]&lt;50,"45-50","50+")))</f>
        <v>30-44</v>
      </c>
      <c r="O41" t="str">
        <f>IF(Attrition_table[[#This Row],[Salary]]&lt;50000, "Low Salary",IF(Attrition_table[[#This Row],[Salary]]&lt;70000,"Medium Salary",IF(Attrition_table[[#This Row],[Salary]]&gt;=70000,"High Salary")))</f>
        <v>High Salary</v>
      </c>
      <c r="P41" s="19" t="str">
        <f>IF(Attrition_table[[#This Row],[JobSatisfaction]]&lt;=2,"Low",IF(Attrition_table[[#This Row],[JobSatisfaction]]=3,"Medium", "High"))</f>
        <v>Medium</v>
      </c>
    </row>
  </sheetData>
  <dataValidations count="1">
    <dataValidation type="list" allowBlank="1" showInputMessage="1" showErrorMessage="1" sqref="L2:L41" xr:uid="{132F903F-9F57-498E-BEB6-E0AFD8175C9C}">
      <formula1>"Yes,No"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8F6F4-2ADB-4C9E-AFC3-B1C6A6DC61EB}">
  <dimension ref="B2:J3"/>
  <sheetViews>
    <sheetView workbookViewId="0">
      <selection activeCell="J9" sqref="J9"/>
    </sheetView>
  </sheetViews>
  <sheetFormatPr defaultRowHeight="13.8"/>
  <cols>
    <col min="2" max="2" width="18.59765625" bestFit="1" customWidth="1"/>
    <col min="4" max="4" width="16.8984375" bestFit="1" customWidth="1"/>
    <col min="6" max="6" width="19" bestFit="1" customWidth="1"/>
    <col min="8" max="8" width="13.59765625" bestFit="1" customWidth="1"/>
    <col min="10" max="10" width="27.09765625" bestFit="1" customWidth="1"/>
  </cols>
  <sheetData>
    <row r="2" spans="2:10">
      <c r="B2" t="s">
        <v>80</v>
      </c>
      <c r="D2" t="s">
        <v>81</v>
      </c>
      <c r="F2" t="s">
        <v>82</v>
      </c>
      <c r="H2" t="s">
        <v>83</v>
      </c>
      <c r="J2" t="s">
        <v>84</v>
      </c>
    </row>
    <row r="3" spans="2:10">
      <c r="B3">
        <f>COUNT(Attrition_table[EmployeeID])</f>
        <v>40</v>
      </c>
      <c r="D3">
        <f>COUNTIF(Attrition_table[Attrition Flag],"1")</f>
        <v>20</v>
      </c>
      <c r="F3" s="23">
        <f>($B$3-$D$3)/$B$3</f>
        <v>0.5</v>
      </c>
      <c r="H3" s="6">
        <f>AVERAGE(Attrition_table[Age])</f>
        <v>35.375</v>
      </c>
      <c r="J3" s="4">
        <f>AVERAGE(Attrition_table[JobSatisfaction])</f>
        <v>2.9750000000000001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7C0C-D98C-4A18-97BF-DFFA5873A58A}">
  <sheetPr>
    <pageSetUpPr fitToPage="1"/>
  </sheetPr>
  <dimension ref="A1"/>
  <sheetViews>
    <sheetView showGridLines="0" showRowColHeaders="0" tabSelected="1" zoomScale="68" workbookViewId="0">
      <selection activeCell="AA30" sqref="AA30"/>
    </sheetView>
  </sheetViews>
  <sheetFormatPr defaultRowHeight="13.8"/>
  <cols>
    <col min="1" max="16384" width="8.796875" style="22"/>
  </cols>
  <sheetData/>
  <pageMargins left="0.25" right="0.25" top="0.75" bottom="0.75" header="0.3" footer="0.3"/>
  <pageSetup scale="5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Raw</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Vinod W</dc:creator>
  <cp:lastModifiedBy>Anshita Sharma</cp:lastModifiedBy>
  <cp:lastPrinted>2026-05-02T18:39:41Z</cp:lastPrinted>
  <dcterms:created xsi:type="dcterms:W3CDTF">2026-04-14T12:12:44Z</dcterms:created>
  <dcterms:modified xsi:type="dcterms:W3CDTF">2026-05-02T18:41:48Z</dcterms:modified>
</cp:coreProperties>
</file>